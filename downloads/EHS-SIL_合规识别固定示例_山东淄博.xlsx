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5d64b36644b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画像与使用说明" sheetId="1" r:id="R455d99897899402d"/>
    <x:sheet xmlns:r="http://schemas.openxmlformats.org/officeDocument/2006/relationships" name="法规识别台账" sheetId="2" r:id="R02ee683fb06347b2"/>
    <x:sheet xmlns:r="http://schemas.openxmlformats.org/officeDocument/2006/relationships" name="符合性评价记录" sheetId="3" r:id="Rd9581ca2358e4f80"/>
    <x:sheet xmlns:r="http://schemas.openxmlformats.org/officeDocument/2006/relationships" name="法规动态跟踪及官方来源" sheetId="4" r:id="R063829c107be4a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sz val="11"/>
      <x:color rgb="FF7C2D1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8FAFC"/>
      </x:patternFill>
    </x:fill>
    <x:fill>
      <x:patternFill patternType="solid">
        <x:fgColor rgb="FFD9A441"/>
      </x:patternFill>
    </x:fill>
    <x:fill>
      <x:patternFill patternType="solid">
        <x:fgColor rgb="FFFFF7ED"/>
      </x:patternFill>
    </x:fill>
    <x:fill>
      <x:patternFill patternType="solid">
        <x:fgColor rgb="FF3A6EA5"/>
      </x:patternFill>
    </x:fill>
    <x:fill>
      <x:patternFill patternType="solid">
        <x:fgColor rgb="FFEFF6FF"/>
      </x:patternFill>
    </x:fill>
  </x:fills>
  <x:borders count="23">
    <x:border/>
    <x:border>
      <x:right style="thin">
        <x:color rgb="FF6B829C"/>
      </x:right>
    </x:border>
    <x:border>
      <x:left style="thin">
        <x:color rgb="FF6B829C"/>
      </x:left>
    </x:border>
    <x:border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top style="thin">
        <x:color rgb="FFD7E0E8"/>
      </x:top>
    </x:border>
    <x:border>
      <x:left style="thin">
        <x:color rgb="FFD9A441"/>
      </x:left>
      <x:top style="thin">
        <x:color rgb="FFD9A441"/>
      </x:top>
    </x:border>
    <x:border>
      <x:top style="thin">
        <x:color rgb="FFD9A441"/>
      </x:top>
    </x:border>
    <x:border>
      <x:right style="thin">
        <x:color rgb="FFD9A441"/>
      </x:right>
      <x:top style="thin">
        <x:color rgb="FFD9A441"/>
      </x:top>
    </x:border>
    <x:border>
      <x:left style="thin">
        <x:color rgb="FFD9A441"/>
      </x:left>
    </x:border>
    <x:border>
      <x:right style="thin">
        <x:color rgb="FFD9A441"/>
      </x:right>
    </x:border>
    <x:border>
      <x:left style="thin">
        <x:color rgb="FFD9A441"/>
      </x:left>
      <x:bottom style="thin">
        <x:color rgb="FFD9A441"/>
      </x:bottom>
    </x:border>
    <x:border>
      <x:bottom style="thin">
        <x:color rgb="FFD9A441"/>
      </x:bottom>
    </x:border>
    <x:border>
      <x:right style="thin">
        <x:color rgb="FFD9A441"/>
      </x:right>
      <x:bottom style="thin">
        <x:color rgb="FFD9A441"/>
      </x:bottom>
    </x:border>
    <x:border>
      <x:left style="thin">
        <x:color rgb="FF3A6EA5"/>
      </x:left>
      <x:top style="thin">
        <x:color rgb="FF3A6EA5"/>
      </x:top>
    </x:border>
    <x:border>
      <x:top style="thin">
        <x:color rgb="FF3A6EA5"/>
      </x:top>
    </x:border>
    <x:border>
      <x:right style="thin">
        <x:color rgb="FF3A6EA5"/>
      </x:right>
      <x:top style="thin">
        <x:color rgb="FF3A6EA5"/>
      </x:top>
    </x:border>
    <x:border>
      <x:left style="thin">
        <x:color rgb="FF3A6EA5"/>
      </x:left>
    </x:border>
    <x:border>
      <x:right style="thin">
        <x:color rgb="FF3A6EA5"/>
      </x:right>
    </x:border>
    <x:border>
      <x:left style="thin">
        <x:color rgb="FF3A6EA5"/>
      </x:left>
      <x:bottom style="thin">
        <x:color rgb="FF3A6EA5"/>
      </x:bottom>
    </x:border>
    <x:border>
      <x:bottom style="thin">
        <x:color rgb="FF3A6EA5"/>
      </x:bottom>
    </x:border>
    <x:border>
      <x:right style="thin">
        <x:color rgb="FF3A6EA5"/>
      </x:right>
      <x:bottom style="thin">
        <x:color rgb="FF3A6EA5"/>
      </x:bottom>
    </x:border>
    <x:border>
      <x:left style="thin">
        <x:color rgb="FF6B829C"/>
      </x:left>
      <x:right style="thin">
        <x:color rgb="FF6B829C"/>
      </x:right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0" fillId="7" borderId="21" xfId="0" applyNumberFormat="1" applyFont="1" applyFill="1" applyBorder="1"/>
    <x:xf numFmtId="0" fontId="0" fillId="7" borderId="14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  <x:xf numFmtId="0" fontId="0" fillId="7" borderId="16" xfId="0" applyNumberFormat="1" applyFont="1" applyFill="1" applyBorder="1" applyAlignment="1">
      <x:alignment wrapText="1"/>
    </x:xf>
    <x:xf numFmtId="0" fontId="0" fillId="7" borderId="17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8" xfId="0" applyNumberFormat="1" applyFont="1" applyFill="1" applyBorder="1" applyAlignment="1">
      <x:alignment wrapText="1"/>
    </x:xf>
    <x:xf numFmtId="0" fontId="0" fillId="7" borderId="19" xfId="0" applyNumberFormat="1" applyFont="1" applyFill="1" applyBorder="1" applyAlignment="1">
      <x:alignment wrapText="1"/>
    </x:xf>
    <x:xf numFmtId="0" fontId="0" fillId="7" borderId="20" xfId="0" applyNumberFormat="1" applyFont="1" applyFill="1" applyBorder="1" applyAlignment="1">
      <x:alignment wrapText="1"/>
    </x:xf>
    <x:xf numFmtId="0" fontId="0" fillId="7" borderId="21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0" fillId="7" borderId="17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8" xfId="0" applyNumberFormat="1" applyFont="1" applyFill="1" applyBorder="1" applyAlignment="1">
      <x:alignment vertical="top" wrapText="1"/>
    </x:xf>
    <x:xf numFmtId="0" fontId="0" fillId="7" borderId="19" xfId="0" applyNumberFormat="1" applyFont="1" applyFill="1" applyBorder="1" applyAlignment="1">
      <x:alignment vertical="top" wrapText="1"/>
    </x:xf>
    <x:xf numFmtId="0" fontId="0" fillId="7" borderId="20" xfId="0" applyNumberFormat="1" applyFont="1" applyFill="1" applyBorder="1" applyAlignment="1">
      <x:alignment vertical="top" wrapText="1"/>
    </x:xf>
    <x:xf numFmtId="0" fontId="0" fillId="7" borderId="21" xfId="0" applyNumberFormat="1" applyFont="1" applyFill="1" applyBorder="1" applyAlignment="1">
      <x:alignment vertical="top" wrapText="1"/>
    </x:xf>
    <x:xf numFmtId="0" fontId="3" fillId="2" borderId="22" xfId="0" applyNumberFormat="1" applyFont="1" applyFill="1" applyBorder="1"/>
    <x:xf numFmtId="0" fontId="3" fillId="2" borderId="22" xfId="0" applyNumberFormat="1" applyFont="1" applyFill="1" applyBorder="1" applyAlignment="1">
      <x:alignment wrapText="1"/>
    </x:xf>
    <x:xf numFmtId="0" fontId="3" fillId="2" borderId="22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3730A3"/>
      </x:font>
      <x:fill>
        <x:patternFill patternType="solid">
          <x:bgColor rgb="FFE0E7FF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f59b414b1b4f0c" /><Relationship Type="http://schemas.openxmlformats.org/officeDocument/2006/relationships/theme" Target="/xl/theme/theme1.xml" Id="R929c3437f9964ccf" /><Relationship Type="http://schemas.openxmlformats.org/officeDocument/2006/relationships/sharedStrings" Target="/xl/sharedStrings.xml" Id="R88b7c200fbac45aa" /><Relationship Type="http://schemas.openxmlformats.org/officeDocument/2006/relationships/worksheet" Target="/xl/worksheets/sheet1.xml" Id="R455d99897899402d" /><Relationship Type="http://schemas.openxmlformats.org/officeDocument/2006/relationships/worksheet" Target="/xl/worksheets/sheet2.xml" Id="R02ee683fb06347b2" /><Relationship Type="http://schemas.openxmlformats.org/officeDocument/2006/relationships/worksheet" Target="/xl/worksheets/sheet3.xml" Id="Rd9581ca2358e4f80" /><Relationship Type="http://schemas.openxmlformats.org/officeDocument/2006/relationships/worksheet" Target="/xl/worksheets/sheet4.xml" Id="R063829c107be4a19" /><Relationship Type="http://schemas.microsoft.com/office/2017/10/relationships/person" Target="/xl/persons/person.xml" Id="Rdaf968a2dde24713" /></Relationships>
</file>

<file path=xl/persons/person.xml><?xml version="1.0" encoding="utf-8"?>
<xltc:personList xmlns:xltc="http://schemas.microsoft.com/office/spreadsheetml/2018/threadedcomments">
  <xltc:person displayName="EHS-SIL" id="{54B0024E-2916-4AE4-AA91-70468E447CCA}"/>
</xltc:personList>
</file>

<file path=xl/tables/table1.xml><?xml version="1.0" encoding="utf-8"?>
<x:table xmlns:x="http://schemas.openxmlformats.org/spreadsheetml/2006/main" id="1" name="ExampleComplianceLedger" displayName="ExampleComplianceLedger" ref="A4:T40" headerRowCount="1" totalsRowCount="0" totalsRowShown="0">
  <x:tableColumns count="20">
    <x:tableColumn id="1" name="序号"/>
    <x:tableColumn id="2" name="类别层级"/>
    <x:tableColumn id="3" name="法规或标准名称"/>
    <x:tableColumn id="4" name="文号/标准号"/>
    <x:tableColumn id="5" name="状态"/>
    <x:tableColumn id="6" name="发布日期"/>
    <x:tableColumn id="7" name="实施日期"/>
    <x:tableColumn id="8" name="发布机关"/>
    <x:tableColumn id="9" name="适用性结论"/>
    <x:tableColumn id="10" name="匹配原因"/>
    <x:tableColumn id="11" name="适用条款或章节"/>
    <x:tableColumn id="12" name="要求摘要"/>
    <x:tableColumn id="13" name="转化落实情况"/>
    <x:tableColumn id="14" name="主责部门"/>
    <x:tableColumn id="15" name="协同部门"/>
    <x:tableColumn id="16" name="证据要求"/>
    <x:tableColumn id="17" name="下次评审日期"/>
    <x:tableColumn id="18" name="评审提醒"/>
    <x:tableColumn id="19" name="核验状态"/>
    <x:tableColumn id="20" name="官方来源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ampleEvaluation" displayName="ExampleEvaluation" ref="A4:L40" headerRowCount="1" totalsRowCount="0" totalsRowShown="0">
  <x:tableColumns count="12">
    <x:tableColumn id="1" name="法规或标准名称"/>
    <x:tableColumn id="2" name="条款号/要求摘要"/>
    <x:tableColumn id="3" name="公司现状与客观证据"/>
    <x:tableColumn id="4" name="判定"/>
    <x:tableColumn id="5" name="差距分析"/>
    <x:tableColumn id="6" name="整改措施"/>
    <x:tableColumn id="7" name="责任部门或责任人"/>
    <x:tableColumn id="8" name="计划完成日期"/>
    <x:tableColumn id="9" name="实际完成日期"/>
    <x:tableColumn id="10" name="验证结果"/>
    <x:tableColumn id="11" name="自动状态"/>
    <x:tableColumn id="12" name="逾期天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ampleRegulationTracking" displayName="ExampleRegulationTracking" ref="A4:P8" headerRowCount="1" totalsRowCount="0" totalsRowShown="0">
  <x:tableColumns count="16">
    <x:tableColumn id="1" name="获知日期"/>
    <x:tableColumn id="2" name="信息来源"/>
    <x:tableColumn id="3" name="法规或标准名称"/>
    <x:tableColumn id="4" name="变化类型"/>
    <x:tableColumn id="5" name="原版本"/>
    <x:tableColumn id="6" name="新版本"/>
    <x:tableColumn id="7" name="发布日期"/>
    <x:tableColumn id="8" name="实施日期"/>
    <x:tableColumn id="9" name="实施状态"/>
    <x:tableColumn id="10" name="实施进度"/>
    <x:tableColumn id="11" name="影响等级"/>
    <x:tableColumn id="12" name="影响评估"/>
    <x:tableColumn id="13" name="应对措施"/>
    <x:tableColumn id="14" name="责任人"/>
    <x:tableColumn id="15" name="完成状态"/>
    <x:tableColumn id="16" name="官方来源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a739fd4c2f4d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381f5e677d4b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672b1c2fa640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3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3" t="str">
        <x:v>EHS-SIL 企业适用法规识别｜固定示例</x:v>
      </x:c>
      <x:c r="B1" s="3"/>
      <x:c r="C1" s="3"/>
      <x:c r="D1" s="3"/>
      <x:c r="E1" s="3"/>
      <x:c r="F1" s="3"/>
    </x:row>
    <x:row r="2" ht="34" customHeight="1">
      <x:c r="A2" s="7" t="str">
        <x:v>免费示例文件 · 仅用于展示专业 Excel 的结构和填写方式，不代表对任何真实企业的法规适用结论。</x:v>
      </x:c>
      <x:c r="B2" s="7"/>
      <x:c r="C2" s="7"/>
      <x:c r="D2" s="7"/>
      <x:c r="E2" s="7"/>
      <x:c r="F2" s="7"/>
    </x:row>
    <x:row r="4" ht="28" customHeight="1">
      <x:c r="A4" s="13" t="str">
        <x:v>字段</x:v>
      </x:c>
      <x:c r="B4" s="14" t="str">
        <x:v>示例内容</x:v>
      </x:c>
      <x:c r="D4" s="28" t="str">
        <x:v>版权与使用边界</x:v>
      </x:c>
      <x:c r="E4" s="28"/>
      <x:c r="F4" s="28"/>
    </x:row>
    <x:row r="5">
      <x:c r="A5" s="21" t="str">
        <x:v>企业名称</x:v>
      </x:c>
      <x:c r="B5" s="21" t="str">
        <x:v>山东淄博示例化工有限公司（演示）</x:v>
      </x:c>
      <x:c r="D5" s="48" t="str">
        <x:v>法规及标准基本信息来源于公开官方渠道；EHS-SIL 对本文件中的原创编排、匹配逻辑、摘要说明和模板设计保留相应权利。本文件仅供会员本人或所在企业内部 EHS 管理使用，不得整表转售、公开传播或作为数据库二次发布。识别结果仅供管理参考，不构成法律意见，企业仍应结合工艺、设备、物料、许可及属地要求进行最终确认。
本文件为固定示例，包含的企业名称、评价内容和责任人均为演示数据。</x:v>
      </x:c>
      <x:c r="E5" s="49"/>
      <x:c r="F5" s="50"/>
    </x:row>
    <x:row r="6">
      <x:c r="A6" s="22" t="str">
        <x:v>省份</x:v>
      </x:c>
      <x:c r="B6" s="22" t="str">
        <x:v>山东省</x:v>
      </x:c>
      <x:c r="D6" s="51"/>
      <x:c r="E6" s="52"/>
      <x:c r="F6" s="53"/>
    </x:row>
    <x:row r="7">
      <x:c r="A7" s="22" t="str">
        <x:v>城市</x:v>
      </x:c>
      <x:c r="B7" s="22" t="str">
        <x:v>淄博市</x:v>
      </x:c>
      <x:c r="D7" s="51"/>
      <x:c r="E7" s="52"/>
      <x:c r="F7" s="53"/>
    </x:row>
    <x:row r="8">
      <x:c r="A8" s="22" t="str">
        <x:v>企业规模</x:v>
      </x:c>
      <x:c r="B8" s="22" t="str">
        <x:v>中型</x:v>
      </x:c>
      <x:c r="D8" s="51"/>
      <x:c r="E8" s="52"/>
      <x:c r="F8" s="53"/>
    </x:row>
    <x:row r="9">
      <x:c r="A9" s="22" t="str">
        <x:v>所有制</x:v>
      </x:c>
      <x:c r="B9" s="22" t="str">
        <x:v>民营</x:v>
      </x:c>
      <x:c r="D9" s="51"/>
      <x:c r="E9" s="52"/>
      <x:c r="F9" s="53"/>
    </x:row>
    <x:row r="10">
      <x:c r="A10" s="22" t="str">
        <x:v>企业类型</x:v>
      </x:c>
      <x:c r="B10" s="22" t="str">
        <x:v>危险化学品使用企业</x:v>
      </x:c>
      <x:c r="D10" s="51"/>
      <x:c r="E10" s="52"/>
      <x:c r="F10" s="53"/>
    </x:row>
    <x:row r="11">
      <x:c r="A11" s="22" t="str">
        <x:v>行业</x:v>
      </x:c>
      <x:c r="B11" s="22" t="str">
        <x:v>化学原料和化学制品制造</x:v>
      </x:c>
      <x:c r="D11" s="51"/>
      <x:c r="E11" s="52"/>
      <x:c r="F11" s="53"/>
    </x:row>
    <x:row r="12">
      <x:c r="A12" s="22" t="str">
        <x:v>高风险活动</x:v>
      </x:c>
      <x:c r="B12" s="22" t="str">
        <x:v>涉及动火作业、涉及受限空间作业、涉及高处作业、涉及临时用电、存在职业病危害</x:v>
      </x:c>
      <x:c r="D12" s="54"/>
      <x:c r="E12" s="55"/>
      <x:c r="F12" s="56"/>
    </x:row>
    <x:row r="13">
      <x:c r="A13" s="22" t="str">
        <x:v>危险化学品活动</x:v>
      </x:c>
      <x:c r="B13" s="22" t="str">
        <x:v>危化品使用、危化品储存</x:v>
      </x:c>
    </x:row>
    <x:row r="14">
      <x:c r="A14" s="22" t="str">
        <x:v>危险废物活动</x:v>
      </x:c>
      <x:c r="B14" s="22" t="str">
        <x:v>危废产生、危废暂存</x:v>
      </x:c>
      <x:c r="D14" s="58" t="str">
        <x:v>填写提示</x:v>
      </x:c>
      <x:c r="E14" s="58"/>
      <x:c r="F14" s="58"/>
    </x:row>
    <x:row r="15">
      <x:c r="A15" s="22" t="str">
        <x:v>特种设备</x:v>
      </x:c>
      <x:c r="B15" s="22" t="str">
        <x:v>压力容器</x:v>
      </x:c>
      <x:c r="D15" s="77" t="str">
        <x:v>1. 先复核法规适用性，再记录客观证据。
2. “建议复核”不等同于明确适用。
3. 基本符合或不符合项应填写差距、措施、责任人和计划日期。
4. 完成整改后填写实际完成日期和验证结果。</x:v>
      </x:c>
      <x:c r="E15" s="78"/>
      <x:c r="F15" s="79"/>
    </x:row>
    <x:row r="16">
      <x:c r="A16" s="22" t="str">
        <x:v>数据版本</x:v>
      </x:c>
      <x:c r="B16" s="22" t="str">
        <x:v>1.2.0</x:v>
      </x:c>
      <x:c r="D16" s="80"/>
      <x:c r="E16" s="81"/>
      <x:c r="F16" s="82"/>
    </x:row>
    <x:row r="17">
      <x:c r="A17" s="22" t="str">
        <x:v>已核验法规</x:v>
      </x:c>
      <x:c r="B17" s="24" t="n">
        <x:v>6</x:v>
      </x:c>
      <x:c r="D17" s="80"/>
      <x:c r="E17" s="81"/>
      <x:c r="F17" s="82"/>
    </x:row>
    <x:row r="18">
      <x:c r="A18" s="22" t="str">
        <x:v>候选记录</x:v>
      </x:c>
      <x:c r="B18" s="24" t="n">
        <x:v>94</x:v>
      </x:c>
      <x:c r="D18" s="80"/>
      <x:c r="E18" s="81"/>
      <x:c r="F18" s="82"/>
    </x:row>
    <x:row r="19">
      <x:c r="A19" s="23" t="str">
        <x:v>示例生成日期</x:v>
      </x:c>
      <x:c r="B19" s="25" t="n">
        <x:v>46235</x:v>
      </x:c>
      <x:c r="D19" s="83"/>
      <x:c r="E19" s="84"/>
      <x:c r="F19" s="85"/>
    </x:row>
  </x:sheetData>
  <x:mergeCells>
    <x:mergeCell ref="A1:F1"/>
    <x:mergeCell ref="A2:F2"/>
    <x:mergeCell ref="D4:F4"/>
    <x:mergeCell ref="D5:F12"/>
    <x:mergeCell ref="D14:F14"/>
    <x:mergeCell ref="D15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3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14" hidden="0" customWidth="1"/>
    <x:col min="10" max="10" width="42" hidden="0" customWidth="1"/>
    <x:col min="11" max="11" width="24" hidden="0" customWidth="1"/>
    <x:col min="12" max="12" width="40" hidden="0" customWidth="1"/>
    <x:col min="13" max="13" width="18" hidden="0" customWidth="1"/>
    <x:col min="14" max="14" width="18" hidden="0" customWidth="1"/>
    <x:col min="15" max="15" width="20" hidden="0" customWidth="1"/>
    <x:col min="16" max="16" width="28" hidden="0" customWidth="1"/>
    <x:col min="17" max="17" width="16" hidden="0" customWidth="1"/>
    <x:col min="18" max="18" width="16" hidden="0" customWidth="1"/>
    <x:col min="19" max="19" width="14" hidden="0" customWidth="1"/>
    <x:col min="20" max="20" width="45" hidden="0" customWidth="1"/>
  </x:cols>
  <x:sheetData>
    <x:row r="1" ht="30" customHeight="1">
      <x:c r="A1" s="3" t="str">
        <x:v>法规识别台账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4" customHeight="1">
      <x:c r="A2" s="7" t="str">
        <x:v>固定山东淄博示例：已核验记录与待复核候选记录分开标识；“建议复核”不得直接作为法律结论。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28" customHeight="1">
      <x:c r="A4" s="13" t="str">
        <x:v>序号</x:v>
      </x:c>
      <x:c r="B4" s="88" t="str">
        <x:v>类别层级</x:v>
      </x:c>
      <x:c r="C4" s="88" t="str">
        <x:v>法规或标准名称</x:v>
      </x:c>
      <x:c r="D4" s="88" t="str">
        <x:v>文号/标准号</x:v>
      </x:c>
      <x:c r="E4" s="88" t="str">
        <x:v>状态</x:v>
      </x:c>
      <x:c r="F4" s="88" t="str">
        <x:v>发布日期</x:v>
      </x:c>
      <x:c r="G4" s="88" t="str">
        <x:v>实施日期</x:v>
      </x:c>
      <x:c r="H4" s="88" t="str">
        <x:v>发布机关</x:v>
      </x:c>
      <x:c r="I4" s="88" t="str">
        <x:v>适用性结论</x:v>
      </x:c>
      <x:c r="J4" s="88" t="str">
        <x:v>匹配原因</x:v>
      </x:c>
      <x:c r="K4" s="88" t="str">
        <x:v>适用条款或章节</x:v>
      </x:c>
      <x:c r="L4" s="88" t="str">
        <x:v>要求摘要</x:v>
      </x:c>
      <x:c r="M4" s="88" t="str">
        <x:v>转化落实情况</x:v>
      </x:c>
      <x:c r="N4" s="88" t="str">
        <x:v>主责部门</x:v>
      </x:c>
      <x:c r="O4" s="88" t="str">
        <x:v>协同部门</x:v>
      </x:c>
      <x:c r="P4" s="88" t="str">
        <x:v>证据要求</x:v>
      </x:c>
      <x:c r="Q4" s="88" t="str">
        <x:v>下次评审日期</x:v>
      </x:c>
      <x:c r="R4" s="88" t="str">
        <x:v>评审提醒</x:v>
      </x:c>
      <x:c r="S4" s="88" t="str">
        <x:v>核验状态</x:v>
      </x:c>
      <x:c r="T4" s="14" t="str">
        <x:v>官方来源URL</x:v>
      </x:c>
    </x:row>
    <x:row r="5">
      <x:c r="A5" s="21" t="n">
        <x:v>1</x:v>
      </x:c>
      <x:c r="B5" s="21" t="str">
        <x:v>法律</x:v>
      </x:c>
      <x:c r="C5" s="21" t="str">
        <x:v>中华人民共和国危险化学品安全法</x:v>
      </x:c>
      <x:c r="D5" s="21" t="str">
        <x:v>主席令第六十四号</x:v>
      </x:c>
      <x:c r="E5" s="21" t="str">
        <x:v>现行有效</x:v>
      </x:c>
      <x:c r="F5" s="89" t="str">
        <x:v>2025-12-27</x:v>
      </x:c>
      <x:c r="G5" s="89" t="str">
        <x:v>2026-05-01</x:v>
      </x:c>
      <x:c r="H5" s="21" t="str">
        <x:v>全国人大常委会</x:v>
      </x:c>
      <x:c r="I5" s="21" t="str">
        <x:v>明确适用</x:v>
      </x:c>
      <x:c r="J5" s="21" t="str">
        <x:v>企业画像满足该法规的受控触发条件：危险化学品使用企业、化学原料和化学制品制造</x:v>
      </x:c>
      <x:c r="K5" s="21" t="str">
        <x:v>需结合企业实际逐条确认</x:v>
      </x:c>
      <x:c r="L5" s="21" t="str">
        <x:v>围绕化学品管理识别适用要求并保留符合性证据。</x:v>
      </x:c>
      <x:c r="M5" s="21" t="str">
        <x:v>未开始</x:v>
      </x:c>
      <x:c r="N5" s="21" t="str">
        <x:v>EHS</x:v>
      </x:c>
      <x:c r="O5" s="21" t="str"/>
      <x:c r="P5" s="21" t="str">
        <x:v>需结合适用条款确认</x:v>
      </x:c>
      <x:c r="Q5" s="89" t="str"/>
      <x:c r="R5" s="21" t="str">
        <x:v>未设置</x:v>
      </x:c>
      <x:c r="S5" s="21" t="str">
        <x:v>已核验</x:v>
      </x:c>
      <x:c r="T5" s="21" t="str">
        <x:v>https://flk.npc.gov.cn/detail?fileId=&amp;id=2933e1a00644487bbd43d0960cb01931&amp;title=%E4%B8%AD%E5%8D%8E%E4%BA%BA%E6%B0%91%E5%85%B1%E5%92%8C%E5%9B%BD%E5%8D%B1%E9%99%A9%E5%8C%96%E5%AD%A6%E5%93%81%E5%AE%89%E5%85%A8%E6%B3%95&amp;type=</x:v>
      </x:c>
    </x:row>
    <x:row r="6">
      <x:c r="A6" s="22" t="n">
        <x:v>2</x:v>
      </x:c>
      <x:c r="B6" s="22" t="str">
        <x:v>法律</x:v>
      </x:c>
      <x:c r="C6" s="22" t="str">
        <x:v>安全生产法</x:v>
      </x:c>
      <x:c r="D6" s="22" t="str">
        <x:v>主席令第88号</x:v>
      </x:c>
      <x:c r="E6" s="22" t="str">
        <x:v>待核实</x:v>
      </x:c>
      <x:c r="F6" s="90" t="str"/>
      <x:c r="G6" s="90" t="str"/>
      <x:c r="H6" s="22" t="str">
        <x:v>全国人大常委会</x:v>
      </x:c>
      <x:c r="I6" s="22" t="str">
        <x:v>建议复核</x:v>
      </x:c>
      <x:c r="J6" s="22" t="str">
        <x:v>企业画像满足该法规的受控触发条件：生产经营单位；候选法规元数据或适用规则尚待人工复核，不作为正式适用结论</x:v>
      </x:c>
      <x:c r="K6" s="22" t="str">
        <x:v>需结合企业实际逐条确认</x:v>
      </x:c>
      <x:c r="L6" s="22" t="str">
        <x:v>围绕综合管理识别适用要求并保留符合性证据。</x:v>
      </x:c>
      <x:c r="M6" s="22" t="str">
        <x:v>未开始</x:v>
      </x:c>
      <x:c r="N6" s="22" t="str">
        <x:v>EHS</x:v>
      </x:c>
      <x:c r="O6" s="22" t="str"/>
      <x:c r="P6" s="22" t="str">
        <x:v>需结合适用条款确认</x:v>
      </x:c>
      <x:c r="Q6" s="90" t="str"/>
      <x:c r="R6" s="22" t="str">
        <x:v>未设置</x:v>
      </x:c>
      <x:c r="S6" s="22" t="str">
        <x:v>待复核</x:v>
      </x:c>
      <x:c r="T6" s="22" t="str">
        <x:v>https://flk.npc.gov.cn/search.html?keyword=安全生产法</x:v>
      </x:c>
    </x:row>
    <x:row r="7">
      <x:c r="A7" s="22" t="n">
        <x:v>3</x:v>
      </x:c>
      <x:c r="B7" s="22" t="str">
        <x:v>法律</x:v>
      </x:c>
      <x:c r="C7" s="22" t="str">
        <x:v>大气污染防治法</x:v>
      </x:c>
      <x:c r="D7" s="22" t="str">
        <x:v>主席令第31号</x:v>
      </x:c>
      <x:c r="E7" s="22" t="str">
        <x:v>待核实</x:v>
      </x:c>
      <x:c r="F7" s="90" t="str"/>
      <x:c r="G7" s="90" t="str"/>
      <x:c r="H7" s="22" t="str">
        <x:v>全国人大常委会</x:v>
      </x:c>
      <x:c r="I7" s="22" t="str">
        <x:v>建议复核</x:v>
      </x:c>
      <x:c r="J7" s="22" t="str">
        <x:v>企业画像满足该法规的受控触发条件：生产经营单位；候选法规元数据或适用规则尚待人工复核，不作为正式适用结论</x:v>
      </x:c>
      <x:c r="K7" s="22" t="str">
        <x:v>需结合企业实际逐条确认</x:v>
      </x:c>
      <x:c r="L7" s="22" t="str">
        <x:v>围绕环境管理识别适用要求并保留符合性证据。</x:v>
      </x:c>
      <x:c r="M7" s="22" t="str">
        <x:v>未开始</x:v>
      </x:c>
      <x:c r="N7" s="22" t="str">
        <x:v>EHS</x:v>
      </x:c>
      <x:c r="O7" s="22" t="str"/>
      <x:c r="P7" s="22" t="str">
        <x:v>需结合适用条款确认</x:v>
      </x:c>
      <x:c r="Q7" s="90" t="str"/>
      <x:c r="R7" s="22" t="str">
        <x:v>未设置</x:v>
      </x:c>
      <x:c r="S7" s="22" t="str">
        <x:v>待复核</x:v>
      </x:c>
      <x:c r="T7" s="22" t="str">
        <x:v>https://flk.npc.gov.cn/search.html?keyword=大气污染防治法</x:v>
      </x:c>
    </x:row>
    <x:row r="8">
      <x:c r="A8" s="22" t="n">
        <x:v>4</x:v>
      </x:c>
      <x:c r="B8" s="22" t="str">
        <x:v>法律</x:v>
      </x:c>
      <x:c r="C8" s="22" t="str">
        <x:v>环境保护法</x:v>
      </x:c>
      <x:c r="D8" s="22" t="str">
        <x:v>主席令第9号</x:v>
      </x:c>
      <x:c r="E8" s="22" t="str">
        <x:v>待核实</x:v>
      </x:c>
      <x:c r="F8" s="90" t="str"/>
      <x:c r="G8" s="90" t="str"/>
      <x:c r="H8" s="22" t="str">
        <x:v>全国人大常委会</x:v>
      </x:c>
      <x:c r="I8" s="22" t="str">
        <x:v>建议复核</x:v>
      </x:c>
      <x:c r="J8" s="22" t="str">
        <x:v>企业画像满足该法规的受控触发条件：生产经营单位；候选法规元数据或适用规则尚待人工复核，不作为正式适用结论</x:v>
      </x:c>
      <x:c r="K8" s="22" t="str">
        <x:v>需结合企业实际逐条确认</x:v>
      </x:c>
      <x:c r="L8" s="22" t="str">
        <x:v>围绕环境管理识别适用要求并保留符合性证据。</x:v>
      </x:c>
      <x:c r="M8" s="22" t="str">
        <x:v>未开始</x:v>
      </x:c>
      <x:c r="N8" s="22" t="str">
        <x:v>EHS</x:v>
      </x:c>
      <x:c r="O8" s="22" t="str"/>
      <x:c r="P8" s="22" t="str">
        <x:v>需结合适用条款确认</x:v>
      </x:c>
      <x:c r="Q8" s="90" t="str"/>
      <x:c r="R8" s="22" t="str">
        <x:v>未设置</x:v>
      </x:c>
      <x:c r="S8" s="22" t="str">
        <x:v>待复核</x:v>
      </x:c>
      <x:c r="T8" s="22" t="str">
        <x:v>https://flk.npc.gov.cn/search.html?keyword=环境保护法</x:v>
      </x:c>
    </x:row>
    <x:row r="9">
      <x:c r="A9" s="22" t="n">
        <x:v>5</x:v>
      </x:c>
      <x:c r="B9" s="22" t="str">
        <x:v>法律</x:v>
      </x:c>
      <x:c r="C9" s="22" t="str">
        <x:v>环境保护税法</x:v>
      </x:c>
      <x:c r="D9" s="22" t="str">
        <x:v>主席令第61号</x:v>
      </x:c>
      <x:c r="E9" s="22" t="str">
        <x:v>待核实</x:v>
      </x:c>
      <x:c r="F9" s="90" t="str"/>
      <x:c r="G9" s="90" t="str"/>
      <x:c r="H9" s="22" t="str">
        <x:v>全国人大常委会</x:v>
      </x:c>
      <x:c r="I9" s="22" t="str">
        <x:v>建议复核</x:v>
      </x:c>
      <x:c r="J9" s="22" t="str">
        <x:v>企业画像满足该法规的受控触发条件：生产经营单位；候选法规元数据或适用规则尚待人工复核，不作为正式适用结论</x:v>
      </x:c>
      <x:c r="K9" s="22" t="str">
        <x:v>需结合企业实际逐条确认</x:v>
      </x:c>
      <x:c r="L9" s="22" t="str">
        <x:v>围绕环境管理识别适用要求并保留符合性证据。</x:v>
      </x:c>
      <x:c r="M9" s="22" t="str">
        <x:v>未开始</x:v>
      </x:c>
      <x:c r="N9" s="22" t="str">
        <x:v>EHS</x:v>
      </x:c>
      <x:c r="O9" s="22" t="str"/>
      <x:c r="P9" s="22" t="str">
        <x:v>需结合适用条款确认</x:v>
      </x:c>
      <x:c r="Q9" s="90" t="str"/>
      <x:c r="R9" s="22" t="str">
        <x:v>未设置</x:v>
      </x:c>
      <x:c r="S9" s="22" t="str">
        <x:v>待复核</x:v>
      </x:c>
      <x:c r="T9" s="22" t="str">
        <x:v>https://flk.npc.gov.cn/search.html?keyword=环境保护税法</x:v>
      </x:c>
    </x:row>
    <x:row r="10">
      <x:c r="A10" s="22" t="n">
        <x:v>6</x:v>
      </x:c>
      <x:c r="B10" s="22" t="str">
        <x:v>法律</x:v>
      </x:c>
      <x:c r="C10" s="22" t="str">
        <x:v>环境影响评价法</x:v>
      </x:c>
      <x:c r="D10" s="22" t="str">
        <x:v>主席令第77号</x:v>
      </x:c>
      <x:c r="E10" s="22" t="str">
        <x:v>待核实</x:v>
      </x:c>
      <x:c r="F10" s="90" t="str"/>
      <x:c r="G10" s="90" t="str"/>
      <x:c r="H10" s="22" t="str">
        <x:v>全国人大常委会</x:v>
      </x:c>
      <x:c r="I10" s="22" t="str">
        <x:v>建议复核</x:v>
      </x:c>
      <x:c r="J10" s="22" t="str">
        <x:v>企业画像满足该法规的受控触发条件：生产经营单位；候选法规元数据或适用规则尚待人工复核，不作为正式适用结论</x:v>
      </x:c>
      <x:c r="K10" s="22" t="str">
        <x:v>需结合企业实际逐条确认</x:v>
      </x:c>
      <x:c r="L10" s="22" t="str">
        <x:v>围绕环境管理识别适用要求并保留符合性证据。</x:v>
      </x:c>
      <x:c r="M10" s="22" t="str">
        <x:v>未开始</x:v>
      </x:c>
      <x:c r="N10" s="22" t="str">
        <x:v>EHS</x:v>
      </x:c>
      <x:c r="O10" s="22" t="str"/>
      <x:c r="P10" s="22" t="str">
        <x:v>需结合适用条款确认</x:v>
      </x:c>
      <x:c r="Q10" s="90" t="str"/>
      <x:c r="R10" s="22" t="str">
        <x:v>未设置</x:v>
      </x:c>
      <x:c r="S10" s="22" t="str">
        <x:v>待复核</x:v>
      </x:c>
      <x:c r="T10" s="22" t="str">
        <x:v>https://flk.npc.gov.cn/search.html?keyword=环境影响评价法</x:v>
      </x:c>
    </x:row>
    <x:row r="11">
      <x:c r="A11" s="22" t="n">
        <x:v>7</x:v>
      </x:c>
      <x:c r="B11" s="22" t="str">
        <x:v>法律</x:v>
      </x:c>
      <x:c r="C11" s="22" t="str">
        <x:v>清洁生产促进法</x:v>
      </x:c>
      <x:c r="D11" s="22" t="str">
        <x:v>主席令第54号</x:v>
      </x:c>
      <x:c r="E11" s="22" t="str">
        <x:v>待核实</x:v>
      </x:c>
      <x:c r="F11" s="90" t="str"/>
      <x:c r="G11" s="90" t="str"/>
      <x:c r="H11" s="22" t="str">
        <x:v>全国人大常委会</x:v>
      </x:c>
      <x:c r="I11" s="22" t="str">
        <x:v>建议复核</x:v>
      </x:c>
      <x:c r="J11" s="22" t="str">
        <x:v>企业画像满足该法规的受控触发条件：生产经营单位；候选法规元数据或适用规则尚待人工复核，不作为正式适用结论</x:v>
      </x:c>
      <x:c r="K11" s="22" t="str">
        <x:v>需结合企业实际逐条确认</x:v>
      </x:c>
      <x:c r="L11" s="22" t="str">
        <x:v>围绕环境管理识别适用要求并保留符合性证据。</x:v>
      </x:c>
      <x:c r="M11" s="22" t="str">
        <x:v>未开始</x:v>
      </x:c>
      <x:c r="N11" s="22" t="str">
        <x:v>EHS</x:v>
      </x:c>
      <x:c r="O11" s="22" t="str"/>
      <x:c r="P11" s="22" t="str">
        <x:v>需结合适用条款确认</x:v>
      </x:c>
      <x:c r="Q11" s="90" t="str"/>
      <x:c r="R11" s="22" t="str">
        <x:v>未设置</x:v>
      </x:c>
      <x:c r="S11" s="22" t="str">
        <x:v>待复核</x:v>
      </x:c>
      <x:c r="T11" s="22" t="str">
        <x:v>https://flk.npc.gov.cn/search.html?keyword=清洁生产促进法</x:v>
      </x:c>
    </x:row>
    <x:row r="12">
      <x:c r="A12" s="22" t="n">
        <x:v>8</x:v>
      </x:c>
      <x:c r="B12" s="22" t="str">
        <x:v>法律</x:v>
      </x:c>
      <x:c r="C12" s="22" t="str">
        <x:v>水污染防治法</x:v>
      </x:c>
      <x:c r="D12" s="22" t="str">
        <x:v>主席令第70号</x:v>
      </x:c>
      <x:c r="E12" s="22" t="str">
        <x:v>待核实</x:v>
      </x:c>
      <x:c r="F12" s="90" t="str"/>
      <x:c r="G12" s="90" t="str"/>
      <x:c r="H12" s="22" t="str">
        <x:v>全国人大常委会</x:v>
      </x:c>
      <x:c r="I12" s="22" t="str">
        <x:v>建议复核</x:v>
      </x:c>
      <x:c r="J12" s="22" t="str">
        <x:v>企业画像满足该法规的受控触发条件：生产经营单位；候选法规元数据或适用规则尚待人工复核，不作为正式适用结论</x:v>
      </x:c>
      <x:c r="K12" s="22" t="str">
        <x:v>需结合企业实际逐条确认</x:v>
      </x:c>
      <x:c r="L12" s="22" t="str">
        <x:v>围绕环境管理识别适用要求并保留符合性证据。</x:v>
      </x:c>
      <x:c r="M12" s="22" t="str">
        <x:v>未开始</x:v>
      </x:c>
      <x:c r="N12" s="22" t="str">
        <x:v>EHS</x:v>
      </x:c>
      <x:c r="O12" s="22" t="str"/>
      <x:c r="P12" s="22" t="str">
        <x:v>需结合适用条款确认</x:v>
      </x:c>
      <x:c r="Q12" s="90" t="str"/>
      <x:c r="R12" s="22" t="str">
        <x:v>未设置</x:v>
      </x:c>
      <x:c r="S12" s="22" t="str">
        <x:v>待复核</x:v>
      </x:c>
      <x:c r="T12" s="22" t="str">
        <x:v>https://flk.npc.gov.cn/search.html?keyword=水污染防治法</x:v>
      </x:c>
    </x:row>
    <x:row r="13">
      <x:c r="A13" s="22" t="n">
        <x:v>9</x:v>
      </x:c>
      <x:c r="B13" s="22" t="str">
        <x:v>法律</x:v>
      </x:c>
      <x:c r="C13" s="22" t="str">
        <x:v>特种设备安全法</x:v>
      </x:c>
      <x:c r="D13" s="22" t="str">
        <x:v>主席令第4号</x:v>
      </x:c>
      <x:c r="E13" s="22" t="str">
        <x:v>待核实</x:v>
      </x:c>
      <x:c r="F13" s="90" t="str"/>
      <x:c r="G13" s="90" t="str"/>
      <x:c r="H13" s="22" t="str">
        <x:v>全国人大常委会</x:v>
      </x:c>
      <x:c r="I13" s="22" t="str">
        <x:v>建议复核</x:v>
      </x:c>
      <x:c r="J13" s="22" t="str">
        <x:v>企业画像满足该法规的受控触发条件：压力容器；候选法规元数据或适用规则尚待人工复核，不作为正式适用结论</x:v>
      </x:c>
      <x:c r="K13" s="22" t="str">
        <x:v>需结合企业实际逐条确认</x:v>
      </x:c>
      <x:c r="L13" s="22" t="str">
        <x:v>围绕设备安全管理识别适用要求并保留符合性证据。</x:v>
      </x:c>
      <x:c r="M13" s="22" t="str">
        <x:v>未开始</x:v>
      </x:c>
      <x:c r="N13" s="22" t="str">
        <x:v>EHS</x:v>
      </x:c>
      <x:c r="O13" s="22" t="str"/>
      <x:c r="P13" s="22" t="str">
        <x:v>需结合适用条款确认</x:v>
      </x:c>
      <x:c r="Q13" s="90" t="str"/>
      <x:c r="R13" s="22" t="str">
        <x:v>未设置</x:v>
      </x:c>
      <x:c r="S13" s="22" t="str">
        <x:v>待复核</x:v>
      </x:c>
      <x:c r="T13" s="22" t="str">
        <x:v>https://flk.npc.gov.cn/search.html?keyword=特种设备安全法</x:v>
      </x:c>
    </x:row>
    <x:row r="14">
      <x:c r="A14" s="22" t="n">
        <x:v>10</x:v>
      </x:c>
      <x:c r="B14" s="22" t="str">
        <x:v>法律</x:v>
      </x:c>
      <x:c r="C14" s="22" t="str">
        <x:v>土壤污染防治法</x:v>
      </x:c>
      <x:c r="D14" s="22" t="str">
        <x:v>主席令第8号</x:v>
      </x:c>
      <x:c r="E14" s="22" t="str">
        <x:v>待核实</x:v>
      </x:c>
      <x:c r="F14" s="90" t="str"/>
      <x:c r="G14" s="90" t="str"/>
      <x:c r="H14" s="22" t="str">
        <x:v>全国人大常委会</x:v>
      </x:c>
      <x:c r="I14" s="22" t="str">
        <x:v>建议复核</x:v>
      </x:c>
      <x:c r="J14" s="22" t="str">
        <x:v>企业画像满足该法规的受控触发条件：生产经营单位；候选法规元数据或适用规则尚待人工复核，不作为正式适用结论</x:v>
      </x:c>
      <x:c r="K14" s="22" t="str">
        <x:v>需结合企业实际逐条确认</x:v>
      </x:c>
      <x:c r="L14" s="22" t="str">
        <x:v>围绕环境管理识别适用要求并保留符合性证据。</x:v>
      </x:c>
      <x:c r="M14" s="22" t="str">
        <x:v>未开始</x:v>
      </x:c>
      <x:c r="N14" s="22" t="str">
        <x:v>EHS</x:v>
      </x:c>
      <x:c r="O14" s="22" t="str"/>
      <x:c r="P14" s="22" t="str">
        <x:v>需结合适用条款确认</x:v>
      </x:c>
      <x:c r="Q14" s="90" t="str"/>
      <x:c r="R14" s="22" t="str">
        <x:v>未设置</x:v>
      </x:c>
      <x:c r="S14" s="22" t="str">
        <x:v>待复核</x:v>
      </x:c>
      <x:c r="T14" s="22" t="str">
        <x:v>https://flk.npc.gov.cn/search.html?keyword=土壤污染防治法</x:v>
      </x:c>
    </x:row>
    <x:row r="15">
      <x:c r="A15" s="22" t="n">
        <x:v>11</x:v>
      </x:c>
      <x:c r="B15" s="22" t="str">
        <x:v>法律</x:v>
      </x:c>
      <x:c r="C15" s="22" t="str">
        <x:v>职业病防治法</x:v>
      </x:c>
      <x:c r="D15" s="22" t="str">
        <x:v>主席令第24号</x:v>
      </x:c>
      <x:c r="E15" s="22" t="str">
        <x:v>待核实</x:v>
      </x:c>
      <x:c r="F15" s="90" t="str"/>
      <x:c r="G15" s="90" t="str"/>
      <x:c r="H15" s="22" t="str">
        <x:v>全国人大常委会</x:v>
      </x:c>
      <x:c r="I15" s="22" t="str">
        <x:v>建议复核</x:v>
      </x:c>
      <x:c r="J15" s="22" t="str">
        <x:v>企业画像满足该法规的受控触发条件：生产经营单位、存在职业病危害；候选法规元数据或适用规则尚待人工复核，不作为正式适用结论</x:v>
      </x:c>
      <x:c r="K15" s="22" t="str">
        <x:v>需结合企业实际逐条确认</x:v>
      </x:c>
      <x:c r="L15" s="22" t="str">
        <x:v>围绕职业健康管理识别适用要求并保留符合性证据。</x:v>
      </x:c>
      <x:c r="M15" s="22" t="str">
        <x:v>未开始</x:v>
      </x:c>
      <x:c r="N15" s="22" t="str">
        <x:v>EHS</x:v>
      </x:c>
      <x:c r="O15" s="22" t="str"/>
      <x:c r="P15" s="22" t="str">
        <x:v>需结合适用条款确认</x:v>
      </x:c>
      <x:c r="Q15" s="90" t="str"/>
      <x:c r="R15" s="22" t="str">
        <x:v>未设置</x:v>
      </x:c>
      <x:c r="S15" s="22" t="str">
        <x:v>待复核</x:v>
      </x:c>
      <x:c r="T15" s="22" t="str">
        <x:v>https://flk.npc.gov.cn/search.html?keyword=职业病防治法</x:v>
      </x:c>
    </x:row>
    <x:row r="16">
      <x:c r="A16" s="22" t="n">
        <x:v>12</x:v>
      </x:c>
      <x:c r="B16" s="22" t="str">
        <x:v>行政法规</x:v>
      </x:c>
      <x:c r="C16" s="22" t="str">
        <x:v>工伤保险条例</x:v>
      </x:c>
      <x:c r="D16" s="22" t="str">
        <x:v>国务院令第586号</x:v>
      </x:c>
      <x:c r="E16" s="22" t="str">
        <x:v>待核实</x:v>
      </x:c>
      <x:c r="F16" s="90" t="str"/>
      <x:c r="G16" s="90" t="str"/>
      <x:c r="H16" s="22" t="str">
        <x:v>国务院</x:v>
      </x:c>
      <x:c r="I16" s="22" t="str">
        <x:v>建议复核</x:v>
      </x:c>
      <x:c r="J16" s="22" t="str">
        <x:v>企业画像满足该法规的受控触发条件：生产经营单位；候选法规元数据或适用规则尚待人工复核，不作为正式适用结论</x:v>
      </x:c>
      <x:c r="K16" s="22" t="str">
        <x:v>需结合企业实际逐条确认</x:v>
      </x:c>
      <x:c r="L16" s="22" t="str">
        <x:v>围绕职业健康管理识别适用要求并保留符合性证据。</x:v>
      </x:c>
      <x:c r="M16" s="22" t="str">
        <x:v>未开始</x:v>
      </x:c>
      <x:c r="N16" s="22" t="str">
        <x:v>EHS</x:v>
      </x:c>
      <x:c r="O16" s="22" t="str"/>
      <x:c r="P16" s="22" t="str">
        <x:v>需结合适用条款确认</x:v>
      </x:c>
      <x:c r="Q16" s="90" t="str"/>
      <x:c r="R16" s="22" t="str">
        <x:v>未设置</x:v>
      </x:c>
      <x:c r="S16" s="22" t="str">
        <x:v>待复核</x:v>
      </x:c>
      <x:c r="T16" s="22" t="str">
        <x:v>https://www.gov.cn/zhengce/content/</x:v>
      </x:c>
    </x:row>
    <x:row r="17">
      <x:c r="A17" s="22" t="n">
        <x:v>13</x:v>
      </x:c>
      <x:c r="B17" s="22" t="str">
        <x:v>行政法规</x:v>
      </x:c>
      <x:c r="C17" s="22" t="str">
        <x:v>女职工劳动保护特别规定</x:v>
      </x:c>
      <x:c r="D17" s="22" t="str">
        <x:v>国务院令第619号</x:v>
      </x:c>
      <x:c r="E17" s="22" t="str">
        <x:v>待核实</x:v>
      </x:c>
      <x:c r="F17" s="90" t="str"/>
      <x:c r="G17" s="90" t="str"/>
      <x:c r="H17" s="22" t="str">
        <x:v>国务院</x:v>
      </x:c>
      <x:c r="I17" s="22" t="str">
        <x:v>建议复核</x:v>
      </x:c>
      <x:c r="J17" s="22" t="str">
        <x:v>企业画像满足该法规的受控触发条件：生产经营单位；候选法规元数据或适用规则尚待人工复核，不作为正式适用结论</x:v>
      </x:c>
      <x:c r="K17" s="22" t="str">
        <x:v>需结合企业实际逐条确认</x:v>
      </x:c>
      <x:c r="L17" s="22" t="str">
        <x:v>围绕职业健康管理识别适用要求并保留符合性证据。</x:v>
      </x:c>
      <x:c r="M17" s="22" t="str">
        <x:v>未开始</x:v>
      </x:c>
      <x:c r="N17" s="22" t="str">
        <x:v>EHS</x:v>
      </x:c>
      <x:c r="O17" s="22" t="str"/>
      <x:c r="P17" s="22" t="str">
        <x:v>需结合适用条款确认</x:v>
      </x:c>
      <x:c r="Q17" s="90" t="str"/>
      <x:c r="R17" s="22" t="str">
        <x:v>未设置</x:v>
      </x:c>
      <x:c r="S17" s="22" t="str">
        <x:v>待复核</x:v>
      </x:c>
      <x:c r="T17" s="22" t="str">
        <x:v>https://www.gov.cn/zhengce/content/</x:v>
      </x:c>
    </x:row>
    <x:row r="18">
      <x:c r="A18" s="22" t="n">
        <x:v>14</x:v>
      </x:c>
      <x:c r="B18" s="22" t="str">
        <x:v>行政法规</x:v>
      </x:c>
      <x:c r="C18" s="22" t="str">
        <x:v>生产安全事故报告和调查处理条例</x:v>
      </x:c>
      <x:c r="D18" s="22" t="str">
        <x:v>国务院令第493号</x:v>
      </x:c>
      <x:c r="E18" s="22" t="str">
        <x:v>待核实</x:v>
      </x:c>
      <x:c r="F18" s="90" t="str"/>
      <x:c r="G18" s="90" t="str"/>
      <x:c r="H18" s="22" t="str">
        <x:v>国务院</x:v>
      </x:c>
      <x:c r="I18" s="22" t="str">
        <x:v>建议复核</x:v>
      </x:c>
      <x:c r="J18" s="22" t="str">
        <x:v>企业画像满足该法规的受控触发条件：生产经营单位；候选法规元数据或适用规则尚待人工复核，不作为正式适用结论</x:v>
      </x:c>
      <x:c r="K18" s="22" t="str">
        <x:v>需结合企业实际逐条确认</x:v>
      </x:c>
      <x:c r="L18" s="22" t="str">
        <x:v>围绕事故管理识别适用要求并保留符合性证据。</x:v>
      </x:c>
      <x:c r="M18" s="22" t="str">
        <x:v>未开始</x:v>
      </x:c>
      <x:c r="N18" s="22" t="str">
        <x:v>EHS</x:v>
      </x:c>
      <x:c r="O18" s="22" t="str"/>
      <x:c r="P18" s="22" t="str">
        <x:v>需结合适用条款确认</x:v>
      </x:c>
      <x:c r="Q18" s="90" t="str"/>
      <x:c r="R18" s="22" t="str">
        <x:v>未设置</x:v>
      </x:c>
      <x:c r="S18" s="22" t="str">
        <x:v>待复核</x:v>
      </x:c>
      <x:c r="T18" s="22" t="str">
        <x:v>https://www.gov.cn/zhengce/content/</x:v>
      </x:c>
    </x:row>
    <x:row r="19">
      <x:c r="A19" s="22" t="n">
        <x:v>15</x:v>
      </x:c>
      <x:c r="B19" s="22" t="str">
        <x:v>行政法规</x:v>
      </x:c>
      <x:c r="C19" s="22" t="str">
        <x:v>生产安全事故应急条例</x:v>
      </x:c>
      <x:c r="D19" s="22" t="str">
        <x:v>国务院令第708号</x:v>
      </x:c>
      <x:c r="E19" s="22" t="str">
        <x:v>待核实</x:v>
      </x:c>
      <x:c r="F19" s="90" t="str"/>
      <x:c r="G19" s="90" t="str"/>
      <x:c r="H19" s="22" t="str">
        <x:v>国务院</x:v>
      </x:c>
      <x:c r="I19" s="22" t="str">
        <x:v>建议复核</x:v>
      </x:c>
      <x:c r="J19" s="22" t="str">
        <x:v>企业画像满足该法规的受控触发条件：生产经营单位；候选法规元数据或适用规则尚待人工复核，不作为正式适用结论</x:v>
      </x:c>
      <x:c r="K19" s="22" t="str">
        <x:v>需结合企业实际逐条确认</x:v>
      </x:c>
      <x:c r="L19" s="22" t="str">
        <x:v>围绕应急管理识别适用要求并保留符合性证据。</x:v>
      </x:c>
      <x:c r="M19" s="22" t="str">
        <x:v>未开始</x:v>
      </x:c>
      <x:c r="N19" s="22" t="str">
        <x:v>EHS</x:v>
      </x:c>
      <x:c r="O19" s="22" t="str"/>
      <x:c r="P19" s="22" t="str">
        <x:v>需结合适用条款确认</x:v>
      </x:c>
      <x:c r="Q19" s="90" t="str"/>
      <x:c r="R19" s="22" t="str">
        <x:v>未设置</x:v>
      </x:c>
      <x:c r="S19" s="22" t="str">
        <x:v>待复核</x:v>
      </x:c>
      <x:c r="T19" s="22" t="str">
        <x:v>https://www.gov.cn/zhengce/content/</x:v>
      </x:c>
    </x:row>
    <x:row r="20">
      <x:c r="A20" s="22" t="n">
        <x:v>16</x:v>
      </x:c>
      <x:c r="B20" s="22" t="str">
        <x:v>行政法规</x:v>
      </x:c>
      <x:c r="C20" s="22" t="str">
        <x:v>危险化学品安全管理条例</x:v>
      </x:c>
      <x:c r="D20" s="22" t="str">
        <x:v>国务院令第591号</x:v>
      </x:c>
      <x:c r="E20" s="22" t="str">
        <x:v>待核实</x:v>
      </x:c>
      <x:c r="F20" s="90" t="str"/>
      <x:c r="G20" s="90" t="str"/>
      <x:c r="H20" s="22" t="str">
        <x:v>国务院</x:v>
      </x:c>
      <x:c r="I20" s="22" t="str">
        <x:v>建议复核</x:v>
      </x:c>
      <x:c r="J20" s="22" t="str">
        <x:v>企业画像满足该法规的受控触发条件：危险化学品使用企业、化学原料和化学制品制造；候选法规元数据或适用规则尚待人工复核，不作为正式适用结论</x:v>
      </x:c>
      <x:c r="K20" s="22" t="str">
        <x:v>需结合企业实际逐条确认</x:v>
      </x:c>
      <x:c r="L20" s="22" t="str">
        <x:v>围绕化学品管理识别适用要求并保留符合性证据。</x:v>
      </x:c>
      <x:c r="M20" s="22" t="str">
        <x:v>未开始</x:v>
      </x:c>
      <x:c r="N20" s="22" t="str">
        <x:v>EHS</x:v>
      </x:c>
      <x:c r="O20" s="22" t="str"/>
      <x:c r="P20" s="22" t="str">
        <x:v>需结合适用条款确认</x:v>
      </x:c>
      <x:c r="Q20" s="90" t="str"/>
      <x:c r="R20" s="22" t="str">
        <x:v>未设置</x:v>
      </x:c>
      <x:c r="S20" s="22" t="str">
        <x:v>待复核</x:v>
      </x:c>
      <x:c r="T20" s="22" t="str">
        <x:v>https://www.gov.cn/zhengce/content/</x:v>
      </x:c>
    </x:row>
    <x:row r="21">
      <x:c r="A21" s="22" t="n">
        <x:v>17</x:v>
      </x:c>
      <x:c r="B21" s="22" t="str">
        <x:v>地方性法规</x:v>
      </x:c>
      <x:c r="C21" s="22" t="str">
        <x:v>山东省生产安全事故隐患排查治理办法</x:v>
      </x:c>
      <x:c r="D21" s="22" t="str">
        <x:v>山东省人民政府令第347号</x:v>
      </x:c>
      <x:c r="E21" s="22" t="str">
        <x:v>现行有效</x:v>
      </x:c>
      <x:c r="F21" s="90" t="str">
        <x:v>2022-03-14</x:v>
      </x:c>
      <x:c r="G21" s="90" t="str">
        <x:v>2022-05-01</x:v>
      </x:c>
      <x:c r="H21" s="22" t="str">
        <x:v>山东省人民政府</x:v>
      </x:c>
      <x:c r="I21" s="22" t="str">
        <x:v>明确适用</x:v>
      </x:c>
      <x:c r="J21" s="22" t="str">
        <x:v>企业所在地为淄博市；企业画像满足该法规的受控触发条件：生产经营单位</x:v>
      </x:c>
      <x:c r="K21" s="22" t="str">
        <x:v>需结合企业实际逐条确认</x:v>
      </x:c>
      <x:c r="L21" s="22" t="str">
        <x:v>山东省内生产经营单位承担事故隐患排查治理主体责任。</x:v>
      </x:c>
      <x:c r="M21" s="22" t="str">
        <x:v>未开始</x:v>
      </x:c>
      <x:c r="N21" s="22" t="str">
        <x:v>EHS</x:v>
      </x:c>
      <x:c r="O21" s="22" t="str"/>
      <x:c r="P21" s="22" t="str">
        <x:v>需结合适用条款确认</x:v>
      </x:c>
      <x:c r="Q21" s="90" t="str"/>
      <x:c r="R21" s="22" t="str">
        <x:v>未设置</x:v>
      </x:c>
      <x:c r="S21" s="22" t="str">
        <x:v>已核验</x:v>
      </x:c>
      <x:c r="T21" s="22" t="str">
        <x:v>https://www.sd.gov.cn/jpaas-jpolicy-web-server/front/info/detail?iid=ce981e339c154ddeb1de22f03ad6506a</x:v>
      </x:c>
    </x:row>
    <x:row r="22">
      <x:c r="A22" s="22" t="n">
        <x:v>18</x:v>
      </x:c>
      <x:c r="B22" s="22" t="str">
        <x:v>国家职业卫生标准</x:v>
      </x:c>
      <x:c r="C22" s="22" t="str">
        <x:v>职业健康监护技术规范</x:v>
      </x:c>
      <x:c r="D22" s="22" t="str">
        <x:v>GBZ 188-2025</x:v>
      </x:c>
      <x:c r="E22" s="22" t="str">
        <x:v>现行有效</x:v>
      </x:c>
      <x:c r="F22" s="90" t="str">
        <x:v>2025-08-20</x:v>
      </x:c>
      <x:c r="G22" s="90" t="str">
        <x:v>2026-08-01</x:v>
      </x:c>
      <x:c r="H22" s="22" t="str">
        <x:v>国家卫生健康委员会</x:v>
      </x:c>
      <x:c r="I22" s="22" t="str">
        <x:v>建议复核</x:v>
      </x:c>
      <x:c r="J22" s="22" t="str">
        <x:v>企业画像满足该法规的受控触发条件：生产经营单位、存在职业病危害；候选法规元数据或适用规则尚待人工复核，不作为正式适用结论</x:v>
      </x:c>
      <x:c r="K22" s="22" t="str">
        <x:v>需人工确认</x:v>
      </x:c>
      <x:c r="L22" s="22" t="str">
        <x:v>规定职业健康监护的基本原则、职业健康检查和监护档案等技术要求。具体适用内容需由专业人员结合职业病危害因素确认。</x:v>
      </x:c>
      <x:c r="M22" s="22" t="str">
        <x:v>未开始</x:v>
      </x:c>
      <x:c r="N22" s="22" t="str">
        <x:v>EHS部门</x:v>
      </x:c>
      <x:c r="O22" s="22" t="str">
        <x:v>人力资源部门</x:v>
      </x:c>
      <x:c r="P22" s="22" t="str">
        <x:v>需结合适用条款确认</x:v>
      </x:c>
      <x:c r="Q22" s="90" t="str"/>
      <x:c r="R22" s="22" t="str">
        <x:v>未设置</x:v>
      </x:c>
      <x:c r="S22" s="22" t="str">
        <x:v>待复核</x:v>
      </x:c>
      <x:c r="T22" s="22" t="str">
        <x:v>https://www.nhc.gov.cn/wjw/pyl/202509/1e939d64e61a4ac6b9d31191c5569c34.shtml</x:v>
      </x:c>
    </x:row>
    <x:row r="23">
      <x:c r="A23" s="22" t="n">
        <x:v>19</x:v>
      </x:c>
      <x:c r="B23" s="22" t="str">
        <x:v>部门规章</x:v>
      </x:c>
      <x:c r="C23" s="22" t="str">
        <x:v>工贸企业有限空间作业安全管理与监督暂行规定</x:v>
      </x:c>
      <x:c r="D23" s="22" t="str">
        <x:v>安监总局令第59号</x:v>
      </x:c>
      <x:c r="E23" s="22" t="str">
        <x:v>待核实</x:v>
      </x:c>
      <x:c r="F23" s="90" t="str"/>
      <x:c r="G23" s="90" t="str"/>
      <x:c r="H23" s="22" t="str">
        <x:v>应急管理部</x:v>
      </x:c>
      <x:c r="I23" s="22" t="str">
        <x:v>建议复核</x:v>
      </x:c>
      <x:c r="J23" s="22" t="str">
        <x:v>企业画像满足该法规的受控触发条件：涉及受限空间作业；候选法规元数据或适用规则尚待人工复核，不作为正式适用结论</x:v>
      </x:c>
      <x:c r="K23" s="22" t="str">
        <x:v>需结合企业实际逐条确认</x:v>
      </x:c>
      <x:c r="L23" s="22" t="str">
        <x:v>围绕作业安全管理识别适用要求并保留符合性证据。</x:v>
      </x:c>
      <x:c r="M23" s="22" t="str">
        <x:v>未开始</x:v>
      </x:c>
      <x:c r="N23" s="22" t="str">
        <x:v>EHS</x:v>
      </x:c>
      <x:c r="O23" s="22" t="str"/>
      <x:c r="P23" s="22" t="str">
        <x:v>需结合适用条款确认</x:v>
      </x:c>
      <x:c r="Q23" s="90" t="str"/>
      <x:c r="R23" s="22" t="str">
        <x:v>未设置</x:v>
      </x:c>
      <x:c r="S23" s="22" t="str">
        <x:v>待复核</x:v>
      </x:c>
      <x:c r="T23" s="22" t="str">
        <x:v>https://www.mem.gov.cn/gk/gwgg/</x:v>
      </x:c>
    </x:row>
    <x:row r="24">
      <x:c r="A24" s="22" t="n">
        <x:v>20</x:v>
      </x:c>
      <x:c r="B24" s="22" t="str">
        <x:v>部门规章</x:v>
      </x:c>
      <x:c r="C24" s="22" t="str">
        <x:v>工作场所职业卫生管理规定</x:v>
      </x:c>
      <x:c r="D24" s="22" t="str">
        <x:v>卫健委令第5号</x:v>
      </x:c>
      <x:c r="E24" s="22" t="str">
        <x:v>待核实</x:v>
      </x:c>
      <x:c r="F24" s="90" t="str"/>
      <x:c r="G24" s="90" t="str"/>
      <x:c r="H24" s="22" t="str">
        <x:v>国家卫健委</x:v>
      </x:c>
      <x:c r="I24" s="22" t="str">
        <x:v>建议复核</x:v>
      </x:c>
      <x:c r="J24" s="22" t="str">
        <x:v>企业画像满足该法规的受控触发条件：存在职业病危害；候选法规元数据或适用规则尚待人工复核，不作为正式适用结论</x:v>
      </x:c>
      <x:c r="K24" s="22" t="str">
        <x:v>需结合企业实际逐条确认</x:v>
      </x:c>
      <x:c r="L24" s="22" t="str">
        <x:v>围绕职业健康管理识别适用要求并保留符合性证据。</x:v>
      </x:c>
      <x:c r="M24" s="22" t="str">
        <x:v>未开始</x:v>
      </x:c>
      <x:c r="N24" s="22" t="str">
        <x:v>EHS</x:v>
      </x:c>
      <x:c r="O24" s="22" t="str"/>
      <x:c r="P24" s="22" t="str">
        <x:v>需结合适用条款确认</x:v>
      </x:c>
      <x:c r="Q24" s="90" t="str"/>
      <x:c r="R24" s="22" t="str">
        <x:v>未设置</x:v>
      </x:c>
      <x:c r="S24" s="22" t="str">
        <x:v>待复核</x:v>
      </x:c>
      <x:c r="T24" s="22" t="str">
        <x:v>https://www.mem.gov.cn/gk/gwgg/</x:v>
      </x:c>
    </x:row>
    <x:row r="25">
      <x:c r="A25" s="22" t="n">
        <x:v>21</x:v>
      </x:c>
      <x:c r="B25" s="22" t="str">
        <x:v>部门规章</x:v>
      </x:c>
      <x:c r="C25" s="22" t="str">
        <x:v>危险化学品登记管理办法</x:v>
      </x:c>
      <x:c r="D25" s="22" t="str">
        <x:v>安监总局令第53号</x:v>
      </x:c>
      <x:c r="E25" s="22" t="str">
        <x:v>待核实</x:v>
      </x:c>
      <x:c r="F25" s="90" t="str"/>
      <x:c r="G25" s="90" t="str"/>
      <x:c r="H25" s="22" t="str">
        <x:v>应急管理部</x:v>
      </x:c>
      <x:c r="I25" s="22" t="str">
        <x:v>建议复核</x:v>
      </x:c>
      <x:c r="J25" s="22" t="str">
        <x:v>企业画像满足该法规的受控触发条件：危险化学品使用企业、化学原料和化学制品制造；候选法规元数据或适用规则尚待人工复核，不作为正式适用结论</x:v>
      </x:c>
      <x:c r="K25" s="22" t="str">
        <x:v>需结合企业实际逐条确认</x:v>
      </x:c>
      <x:c r="L25" s="22" t="str">
        <x:v>围绕化学品管理识别适用要求并保留符合性证据。</x:v>
      </x:c>
      <x:c r="M25" s="22" t="str">
        <x:v>未开始</x:v>
      </x:c>
      <x:c r="N25" s="22" t="str">
        <x:v>EHS</x:v>
      </x:c>
      <x:c r="O25" s="22" t="str"/>
      <x:c r="P25" s="22" t="str">
        <x:v>需结合适用条款确认</x:v>
      </x:c>
      <x:c r="Q25" s="90" t="str"/>
      <x:c r="R25" s="22" t="str">
        <x:v>未设置</x:v>
      </x:c>
      <x:c r="S25" s="22" t="str">
        <x:v>待复核</x:v>
      </x:c>
      <x:c r="T25" s="22" t="str">
        <x:v>https://www.mem.gov.cn/gk/gwgg/</x:v>
      </x:c>
    </x:row>
    <x:row r="26">
      <x:c r="A26" s="22" t="n">
        <x:v>22</x:v>
      </x:c>
      <x:c r="B26" s="22" t="str">
        <x:v>部门规章</x:v>
      </x:c>
      <x:c r="C26" s="22" t="str">
        <x:v>用人单位职业健康监护监督管理办法</x:v>
      </x:c>
      <x:c r="D26" s="22" t="str">
        <x:v>安监总局令第49号</x:v>
      </x:c>
      <x:c r="E26" s="22" t="str">
        <x:v>待核实</x:v>
      </x:c>
      <x:c r="F26" s="90" t="str"/>
      <x:c r="G26" s="90" t="str"/>
      <x:c r="H26" s="22" t="str">
        <x:v>应急管理部</x:v>
      </x:c>
      <x:c r="I26" s="22" t="str">
        <x:v>建议复核</x:v>
      </x:c>
      <x:c r="J26" s="22" t="str">
        <x:v>企业画像满足该法规的受控触发条件：存在职业病危害；候选法规元数据或适用规则尚待人工复核，不作为正式适用结论</x:v>
      </x:c>
      <x:c r="K26" s="22" t="str">
        <x:v>需结合企业实际逐条确认</x:v>
      </x:c>
      <x:c r="L26" s="22" t="str">
        <x:v>围绕职业健康管理识别适用要求并保留符合性证据。</x:v>
      </x:c>
      <x:c r="M26" s="22" t="str">
        <x:v>未开始</x:v>
      </x:c>
      <x:c r="N26" s="22" t="str">
        <x:v>EHS</x:v>
      </x:c>
      <x:c r="O26" s="22" t="str"/>
      <x:c r="P26" s="22" t="str">
        <x:v>需结合适用条款确认</x:v>
      </x:c>
      <x:c r="Q26" s="90" t="str"/>
      <x:c r="R26" s="22" t="str">
        <x:v>未设置</x:v>
      </x:c>
      <x:c r="S26" s="22" t="str">
        <x:v>待复核</x:v>
      </x:c>
      <x:c r="T26" s="22" t="str">
        <x:v>https://www.mem.gov.cn/gk/gwgg/</x:v>
      </x:c>
    </x:row>
    <x:row r="27">
      <x:c r="A27" s="22" t="n">
        <x:v>23</x:v>
      </x:c>
      <x:c r="B27" s="22" t="str">
        <x:v>国家标准</x:v>
      </x:c>
      <x:c r="C27" s="22" t="str">
        <x:v>危险化学品企业安全生产标准化通用规范</x:v>
      </x:c>
      <x:c r="D27" s="22" t="str">
        <x:v>GB 45673-2025</x:v>
      </x:c>
      <x:c r="E27" s="22" t="str">
        <x:v>现行有效</x:v>
      </x:c>
      <x:c r="F27" s="90" t="str">
        <x:v>2025-04-25</x:v>
      </x:c>
      <x:c r="G27" s="90" t="str">
        <x:v>2025-11-01</x:v>
      </x:c>
      <x:c r="H27" s="22" t="str">
        <x:v>国家市场监督管理总局、国家标准化管理委员会</x:v>
      </x:c>
      <x:c r="I27" s="22" t="str">
        <x:v>明确适用</x:v>
      </x:c>
      <x:c r="J27" s="22" t="str">
        <x:v>企业画像满足该法规的受控触发条件：危险化学品使用企业、化学原料和化学制品制造、危化品储存</x:v>
      </x:c>
      <x:c r="K27" s="22" t="str">
        <x:v>需结合企业实际逐条确认</x:v>
      </x:c>
      <x:c r="L27" s="22" t="str">
        <x:v>围绕化学品管理识别适用要求并保留符合性证据。</x:v>
      </x:c>
      <x:c r="M27" s="22" t="str">
        <x:v>未开始</x:v>
      </x:c>
      <x:c r="N27" s="22" t="str">
        <x:v>EHS</x:v>
      </x:c>
      <x:c r="O27" s="22" t="str"/>
      <x:c r="P27" s="22" t="str">
        <x:v>需结合适用条款确认</x:v>
      </x:c>
      <x:c r="Q27" s="90" t="str"/>
      <x:c r="R27" s="22" t="str">
        <x:v>未设置</x:v>
      </x:c>
      <x:c r="S27" s="22" t="str">
        <x:v>已核验</x:v>
      </x:c>
      <x:c r="T27" s="22" t="str">
        <x:v>https://openstd.samr.gov.cn/bzgk/std/newGbInfo?hcno=2B5FB91F00A1C10AE3750A6DEF40C749</x:v>
      </x:c>
    </x:row>
    <x:row r="28">
      <x:c r="A28" s="22" t="n">
        <x:v>24</x:v>
      </x:c>
      <x:c r="B28" s="22" t="str">
        <x:v>国家标准</x:v>
      </x:c>
      <x:c r="C28" s="22" t="str">
        <x:v>高处作业分级</x:v>
      </x:c>
      <x:c r="D28" s="22" t="str">
        <x:v>GB/T 3608-2008</x:v>
      </x:c>
      <x:c r="E28" s="22" t="str">
        <x:v>待核实</x:v>
      </x:c>
      <x:c r="F28" s="90" t="str"/>
      <x:c r="G28" s="90" t="str"/>
      <x:c r="H28" s="22" t="str">
        <x:v>国家标准委</x:v>
      </x:c>
      <x:c r="I28" s="22" t="str">
        <x:v>建议复核</x:v>
      </x:c>
      <x:c r="J28" s="22" t="str">
        <x:v>企业画像满足该法规的受控触发条件：涉及高处作业；候选法规元数据或适用规则尚待人工复核，不作为正式适用结论</x:v>
      </x:c>
      <x:c r="K28" s="22" t="str">
        <x:v>需结合企业实际逐条确认</x:v>
      </x:c>
      <x:c r="L28" s="22" t="str">
        <x:v>围绕作业安全管理识别适用要求并保留符合性证据。</x:v>
      </x:c>
      <x:c r="M28" s="22" t="str">
        <x:v>未开始</x:v>
      </x:c>
      <x:c r="N28" s="22" t="str">
        <x:v>EHS</x:v>
      </x:c>
      <x:c r="O28" s="22" t="str"/>
      <x:c r="P28" s="22" t="str">
        <x:v>需结合适用条款确认</x:v>
      </x:c>
      <x:c r="Q28" s="90" t="str"/>
      <x:c r="R28" s="22" t="str">
        <x:v>未设置</x:v>
      </x:c>
      <x:c r="S28" s="22" t="str">
        <x:v>待复核</x:v>
      </x:c>
      <x:c r="T28" s="22" t="str">
        <x:v>https://openstd.samr.gov.cn/bzgk/gb/std_list?keyword=高处作业分级</x:v>
      </x:c>
    </x:row>
    <x:row r="29">
      <x:c r="A29" s="22" t="n">
        <x:v>25</x:v>
      </x:c>
      <x:c r="B29" s="22" t="str">
        <x:v>职业卫生</x:v>
      </x:c>
      <x:c r="C29" s="22" t="str">
        <x:v>工作场所空气中粉尘测定 第1部分：总粉尘浓度</x:v>
      </x:c>
      <x:c r="D29" s="22" t="str">
        <x:v>GBZ/T 192.1-2007</x:v>
      </x:c>
      <x:c r="E29" s="22" t="str">
        <x:v>待核实</x:v>
      </x:c>
      <x:c r="F29" s="90" t="str"/>
      <x:c r="G29" s="90" t="str"/>
      <x:c r="H29" s="22" t="str">
        <x:v>国家卫健委</x:v>
      </x:c>
      <x:c r="I29" s="22" t="str">
        <x:v>建议复核</x:v>
      </x:c>
      <x:c r="J29" s="22" t="str">
        <x:v>企业画像满足该法规的受控触发条件：存在职业病危害；候选法规元数据或适用规则尚待人工复核，不作为正式适用结论</x:v>
      </x:c>
      <x:c r="K29" s="22" t="str">
        <x:v>需结合企业实际逐条确认</x:v>
      </x:c>
      <x:c r="L29" s="22" t="str">
        <x:v>围绕职业健康管理识别适用要求并保留符合性证据。</x:v>
      </x:c>
      <x:c r="M29" s="22" t="str">
        <x:v>未开始</x:v>
      </x:c>
      <x:c r="N29" s="22" t="str">
        <x:v>EHS</x:v>
      </x:c>
      <x:c r="O29" s="22" t="str"/>
      <x:c r="P29" s="22" t="str">
        <x:v>需结合适用条款确认</x:v>
      </x:c>
      <x:c r="Q29" s="90" t="str"/>
      <x:c r="R29" s="22" t="str">
        <x:v>未设置</x:v>
      </x:c>
      <x:c r="S29" s="22" t="str">
        <x:v>待复核</x:v>
      </x:c>
      <x:c r="T29" s="22" t="str">
        <x:v>https://openstd.samr.gov.cn/bzgk/gb/std_list?keyword=工作场所空气中粉尘测定 第1部分：总粉尘浓度</x:v>
      </x:c>
    </x:row>
    <x:row r="30">
      <x:c r="A30" s="22" t="n">
        <x:v>26</x:v>
      </x:c>
      <x:c r="B30" s="22" t="str">
        <x:v>职业卫生标准</x:v>
      </x:c>
      <x:c r="C30" s="22" t="str">
        <x:v>工作场所有害因素职业接触限值 第1部分：化学有害因素</x:v>
      </x:c>
      <x:c r="D30" s="22" t="str">
        <x:v>GBZ 2.1-2019</x:v>
      </x:c>
      <x:c r="E30" s="22" t="str">
        <x:v>待核实</x:v>
      </x:c>
      <x:c r="F30" s="90" t="str"/>
      <x:c r="G30" s="90" t="str"/>
      <x:c r="H30" s="22" t="str">
        <x:v>国家卫生健康委员会</x:v>
      </x:c>
      <x:c r="I30" s="22" t="str">
        <x:v>建议复核</x:v>
      </x:c>
      <x:c r="J30" s="22" t="str">
        <x:v>企业画像满足该法规的受控触发条件：存在职业病危害；候选法规元数据或适用规则尚待人工复核，不作为正式适用结论</x:v>
      </x:c>
      <x:c r="K30" s="22" t="str">
        <x:v>需结合企业实际逐条确认</x:v>
      </x:c>
      <x:c r="L30" s="22" t="str">
        <x:v>围绕职业健康管理识别适用要求并保留符合性证据。</x:v>
      </x:c>
      <x:c r="M30" s="22" t="str">
        <x:v>未开始</x:v>
      </x:c>
      <x:c r="N30" s="22" t="str">
        <x:v>EHS</x:v>
      </x:c>
      <x:c r="O30" s="22" t="str"/>
      <x:c r="P30" s="22" t="str">
        <x:v>需结合适用条款确认</x:v>
      </x:c>
      <x:c r="Q30" s="90" t="str"/>
      <x:c r="R30" s="22" t="str">
        <x:v>未设置</x:v>
      </x:c>
      <x:c r="S30" s="22" t="str">
        <x:v>待复核</x:v>
      </x:c>
      <x:c r="T30" s="22" t="str">
        <x:v>https://openstd.samr.gov.cn/bzgk/gb/std_list?keyword=工作场所有害因素职业接触限值</x:v>
      </x:c>
    </x:row>
    <x:row r="31">
      <x:c r="A31" s="22" t="n">
        <x:v>27</x:v>
      </x:c>
      <x:c r="B31" s="22" t="str">
        <x:v>职业卫生</x:v>
      </x:c>
      <x:c r="C31" s="22" t="str">
        <x:v>工作场所职业病危害警示标识</x:v>
      </x:c>
      <x:c r="D31" s="22" t="str">
        <x:v>GBZ 158-2003</x:v>
      </x:c>
      <x:c r="E31" s="22" t="str">
        <x:v>待核实</x:v>
      </x:c>
      <x:c r="F31" s="90" t="str"/>
      <x:c r="G31" s="90" t="str"/>
      <x:c r="H31" s="22" t="str">
        <x:v>卫生部</x:v>
      </x:c>
      <x:c r="I31" s="22" t="str">
        <x:v>建议复核</x:v>
      </x:c>
      <x:c r="J31" s="22" t="str">
        <x:v>企业画像满足该法规的受控触发条件：存在职业病危害；候选法规元数据或适用规则尚待人工复核，不作为正式适用结论</x:v>
      </x:c>
      <x:c r="K31" s="22" t="str">
        <x:v>需结合企业实际逐条确认</x:v>
      </x:c>
      <x:c r="L31" s="22" t="str">
        <x:v>围绕职业健康管理识别适用要求并保留符合性证据。</x:v>
      </x:c>
      <x:c r="M31" s="22" t="str">
        <x:v>未开始</x:v>
      </x:c>
      <x:c r="N31" s="22" t="str">
        <x:v>EHS</x:v>
      </x:c>
      <x:c r="O31" s="22" t="str"/>
      <x:c r="P31" s="22" t="str">
        <x:v>需结合适用条款确认</x:v>
      </x:c>
      <x:c r="Q31" s="90" t="str"/>
      <x:c r="R31" s="22" t="str">
        <x:v>未设置</x:v>
      </x:c>
      <x:c r="S31" s="22" t="str">
        <x:v>待复核</x:v>
      </x:c>
      <x:c r="T31" s="22" t="str">
        <x:v>https://openstd.samr.gov.cn/bzgk/gb/std_list?keyword=工作场所职业病危害警示标识</x:v>
      </x:c>
    </x:row>
    <x:row r="32">
      <x:c r="A32" s="22" t="n">
        <x:v>28</x:v>
      </x:c>
      <x:c r="B32" s="22" t="str">
        <x:v>国家标准</x:v>
      </x:c>
      <x:c r="C32" s="22" t="str">
        <x:v>生产过程危险和有害因素分类与代码</x:v>
      </x:c>
      <x:c r="D32" s="22" t="str">
        <x:v>GB/T 13861-2022</x:v>
      </x:c>
      <x:c r="E32" s="22" t="str">
        <x:v>待核实</x:v>
      </x:c>
      <x:c r="F32" s="90" t="str"/>
      <x:c r="G32" s="90" t="str"/>
      <x:c r="H32" s="22" t="str">
        <x:v>国家标准化管理委员会</x:v>
      </x:c>
      <x:c r="I32" s="22" t="str">
        <x:v>建议复核</x:v>
      </x:c>
      <x:c r="J32" s="22" t="str">
        <x:v>企业画像满足该法规的受控触发条件：存在职业病危害；候选法规元数据或适用规则尚待人工复核，不作为正式适用结论</x:v>
      </x:c>
      <x:c r="K32" s="22" t="str">
        <x:v>需结合企业实际逐条确认</x:v>
      </x:c>
      <x:c r="L32" s="22" t="str">
        <x:v>围绕风险管理识别适用要求并保留符合性证据。</x:v>
      </x:c>
      <x:c r="M32" s="22" t="str">
        <x:v>未开始</x:v>
      </x:c>
      <x:c r="N32" s="22" t="str">
        <x:v>EHS</x:v>
      </x:c>
      <x:c r="O32" s="22" t="str"/>
      <x:c r="P32" s="22" t="str">
        <x:v>需结合适用条款确认</x:v>
      </x:c>
      <x:c r="Q32" s="90" t="str"/>
      <x:c r="R32" s="22" t="str">
        <x:v>未设置</x:v>
      </x:c>
      <x:c r="S32" s="22" t="str">
        <x:v>待复核</x:v>
      </x:c>
      <x:c r="T32" s="22" t="str">
        <x:v>https://openstd.samr.gov.cn/bzgk/gb/std_list?keyword=生产过程危险和有害因素分类与代码</x:v>
      </x:c>
    </x:row>
    <x:row r="33">
      <x:c r="A33" s="22" t="n">
        <x:v>29</x:v>
      </x:c>
      <x:c r="B33" s="22" t="str">
        <x:v>国家标准</x:v>
      </x:c>
      <x:c r="C33" s="22" t="str">
        <x:v>危险废物贮存污染控制标准</x:v>
      </x:c>
      <x:c r="D33" s="22" t="str">
        <x:v>GB 18597-2023</x:v>
      </x:c>
      <x:c r="E33" s="22" t="str">
        <x:v>待核实</x:v>
      </x:c>
      <x:c r="F33" s="90" t="str"/>
      <x:c r="G33" s="90" t="str"/>
      <x:c r="H33" s="22" t="str">
        <x:v>生态环境部</x:v>
      </x:c>
      <x:c r="I33" s="22" t="str">
        <x:v>建议复核</x:v>
      </x:c>
      <x:c r="J33" s="22" t="str">
        <x:v>企业画像满足该法规的受控触发条件：危废暂存；候选法规元数据或适用规则尚待人工复核，不作为正式适用结论</x:v>
      </x:c>
      <x:c r="K33" s="22" t="str">
        <x:v>需结合企业实际逐条确认</x:v>
      </x:c>
      <x:c r="L33" s="22" t="str">
        <x:v>围绕环境管理识别适用要求并保留符合性证据。</x:v>
      </x:c>
      <x:c r="M33" s="22" t="str">
        <x:v>未开始</x:v>
      </x:c>
      <x:c r="N33" s="22" t="str">
        <x:v>EHS</x:v>
      </x:c>
      <x:c r="O33" s="22" t="str"/>
      <x:c r="P33" s="22" t="str">
        <x:v>需结合适用条款确认</x:v>
      </x:c>
      <x:c r="Q33" s="90" t="str"/>
      <x:c r="R33" s="22" t="str">
        <x:v>未设置</x:v>
      </x:c>
      <x:c r="S33" s="22" t="str">
        <x:v>待复核</x:v>
      </x:c>
      <x:c r="T33" s="22" t="str">
        <x:v>https://openstd.samr.gov.cn/bzgk/gb/std_list?keyword=危险废物贮存污染控制标准</x:v>
      </x:c>
    </x:row>
    <x:row r="34">
      <x:c r="A34" s="22" t="n">
        <x:v>30</x:v>
      </x:c>
      <x:c r="B34" s="22" t="str">
        <x:v>国家标准</x:v>
      </x:c>
      <x:c r="C34" s="22" t="str">
        <x:v>危险化学品储存通则</x:v>
      </x:c>
      <x:c r="D34" s="22" t="str">
        <x:v>GB 15603-2022</x:v>
      </x:c>
      <x:c r="E34" s="22" t="str">
        <x:v>待核实</x:v>
      </x:c>
      <x:c r="F34" s="90" t="str"/>
      <x:c r="G34" s="90" t="str"/>
      <x:c r="H34" s="22" t="str">
        <x:v>国家标准化管理委员会</x:v>
      </x:c>
      <x:c r="I34" s="22" t="str">
        <x:v>建议复核</x:v>
      </x:c>
      <x:c r="J34" s="22" t="str">
        <x:v>企业画像满足该法规的受控触发条件：危险化学品使用企业、化学原料和化学制品制造；候选法规元数据或适用规则尚待人工复核，不作为正式适用结论</x:v>
      </x:c>
      <x:c r="K34" s="22" t="str">
        <x:v>需结合企业实际逐条确认</x:v>
      </x:c>
      <x:c r="L34" s="22" t="str">
        <x:v>围绕化学品管理识别适用要求并保留符合性证据。</x:v>
      </x:c>
      <x:c r="M34" s="22" t="str">
        <x:v>未开始</x:v>
      </x:c>
      <x:c r="N34" s="22" t="str">
        <x:v>EHS</x:v>
      </x:c>
      <x:c r="O34" s="22" t="str"/>
      <x:c r="P34" s="22" t="str">
        <x:v>需结合适用条款确认</x:v>
      </x:c>
      <x:c r="Q34" s="90" t="str"/>
      <x:c r="R34" s="22" t="str">
        <x:v>未设置</x:v>
      </x:c>
      <x:c r="S34" s="22" t="str">
        <x:v>待复核</x:v>
      </x:c>
      <x:c r="T34" s="22" t="str">
        <x:v>https://openstd.samr.gov.cn/bzgk/gb/std_list?keyword=危险化学品储存通则</x:v>
      </x:c>
    </x:row>
    <x:row r="35">
      <x:c r="A35" s="22" t="n">
        <x:v>31</x:v>
      </x:c>
      <x:c r="B35" s="22" t="str">
        <x:v>国家标准</x:v>
      </x:c>
      <x:c r="C35" s="22" t="str">
        <x:v>危险化学品企业特殊作业安全规范</x:v>
      </x:c>
      <x:c r="D35" s="22" t="str">
        <x:v>GB 30871-2022</x:v>
      </x:c>
      <x:c r="E35" s="22" t="str">
        <x:v>待核实</x:v>
      </x:c>
      <x:c r="F35" s="90" t="str"/>
      <x:c r="G35" s="90" t="str"/>
      <x:c r="H35" s="22" t="str">
        <x:v>国家标准化管理委员会</x:v>
      </x:c>
      <x:c r="I35" s="22" t="str">
        <x:v>建议复核</x:v>
      </x:c>
      <x:c r="J35" s="22" t="str">
        <x:v>企业画像满足该法规的受控触发条件：危险化学品使用企业、化学原料和化学制品制造、涉及动火作业、涉及受限空间作业、涉及高处作业、涉及临时用电；候选法规元数据或适用规则尚待人工复核，不作为正式适用结论</x:v>
      </x:c>
      <x:c r="K35" s="22" t="str">
        <x:v>需结合企业实际逐条确认</x:v>
      </x:c>
      <x:c r="L35" s="22" t="str">
        <x:v>围绕作业安全管理识别适用要求并保留符合性证据。</x:v>
      </x:c>
      <x:c r="M35" s="22" t="str">
        <x:v>未开始</x:v>
      </x:c>
      <x:c r="N35" s="22" t="str">
        <x:v>EHS</x:v>
      </x:c>
      <x:c r="O35" s="22" t="str"/>
      <x:c r="P35" s="22" t="str">
        <x:v>需结合适用条款确认</x:v>
      </x:c>
      <x:c r="Q35" s="90" t="str"/>
      <x:c r="R35" s="22" t="str">
        <x:v>未设置</x:v>
      </x:c>
      <x:c r="S35" s="22" t="str">
        <x:v>待复核</x:v>
      </x:c>
      <x:c r="T35" s="22" t="str">
        <x:v>https://openstd.samr.gov.cn/bzgk/gb/std_list?keyword=危险化学品企业特殊作业安全规范</x:v>
      </x:c>
    </x:row>
    <x:row r="36">
      <x:c r="A36" s="22" t="n">
        <x:v>32</x:v>
      </x:c>
      <x:c r="B36" s="22" t="str">
        <x:v>国家标准</x:v>
      </x:c>
      <x:c r="C36" s="22" t="str">
        <x:v>易燃易爆性商品储存养护技术条件</x:v>
      </x:c>
      <x:c r="D36" s="22" t="str">
        <x:v>GB 17914-2013</x:v>
      </x:c>
      <x:c r="E36" s="22" t="str">
        <x:v>待核实</x:v>
      </x:c>
      <x:c r="F36" s="90" t="str"/>
      <x:c r="G36" s="90" t="str"/>
      <x:c r="H36" s="22" t="str">
        <x:v>国家标准化管理委员会</x:v>
      </x:c>
      <x:c r="I36" s="22" t="str">
        <x:v>建议复核</x:v>
      </x:c>
      <x:c r="J36" s="22" t="str">
        <x:v>企业画像满足该法规的受控触发条件：危险化学品使用企业、化学原料和化学制品制造；候选法规元数据或适用规则尚待人工复核，不作为正式适用结论</x:v>
      </x:c>
      <x:c r="K36" s="22" t="str">
        <x:v>需结合企业实际逐条确认</x:v>
      </x:c>
      <x:c r="L36" s="22" t="str">
        <x:v>围绕化学品管理识别适用要求并保留符合性证据。</x:v>
      </x:c>
      <x:c r="M36" s="22" t="str">
        <x:v>未开始</x:v>
      </x:c>
      <x:c r="N36" s="22" t="str">
        <x:v>EHS</x:v>
      </x:c>
      <x:c r="O36" s="22" t="str"/>
      <x:c r="P36" s="22" t="str">
        <x:v>需结合适用条款确认</x:v>
      </x:c>
      <x:c r="Q36" s="90" t="str"/>
      <x:c r="R36" s="22" t="str">
        <x:v>未设置</x:v>
      </x:c>
      <x:c r="S36" s="22" t="str">
        <x:v>待复核</x:v>
      </x:c>
      <x:c r="T36" s="22" t="str">
        <x:v>https://openstd.samr.gov.cn/bzgk/gb/std_list?keyword=易燃易爆性商品储存养护技术条件</x:v>
      </x:c>
    </x:row>
    <x:row r="37">
      <x:c r="A37" s="22" t="n">
        <x:v>33</x:v>
      </x:c>
      <x:c r="B37" s="22" t="str">
        <x:v>行业标准</x:v>
      </x:c>
      <x:c r="C37" s="22" t="str">
        <x:v>化工企业设备检修作业安全规范</x:v>
      </x:c>
      <x:c r="D37" s="22" t="str">
        <x:v>AQ 3026-2026</x:v>
      </x:c>
      <x:c r="E37" s="22" t="str">
        <x:v>即将实施</x:v>
      </x:c>
      <x:c r="F37" s="90" t="str">
        <x:v>2026-03-09</x:v>
      </x:c>
      <x:c r="G37" s="90" t="str">
        <x:v>2026-09-30</x:v>
      </x:c>
      <x:c r="H37" s="22" t="str">
        <x:v>应急管理部</x:v>
      </x:c>
      <x:c r="I37" s="22" t="str">
        <x:v>明确适用</x:v>
      </x:c>
      <x:c r="J37" s="22" t="str">
        <x:v>企业画像满足该法规的受控触发条件：危险化学品使用企业、化学原料和化学制品制造、涉及动火作业、危化品储存</x:v>
      </x:c>
      <x:c r="K37" s="22" t="str">
        <x:v>需结合企业实际逐条确认</x:v>
      </x:c>
      <x:c r="L37" s="22" t="str">
        <x:v>围绕作业安全管理识别适用要求并保留符合性证据。</x:v>
      </x:c>
      <x:c r="M37" s="22" t="str">
        <x:v>未开始</x:v>
      </x:c>
      <x:c r="N37" s="22" t="str">
        <x:v>EHS</x:v>
      </x:c>
      <x:c r="O37" s="22" t="str"/>
      <x:c r="P37" s="22" t="str">
        <x:v>需结合适用条款确认</x:v>
      </x:c>
      <x:c r="Q37" s="90" t="str"/>
      <x:c r="R37" s="22" t="str">
        <x:v>未设置</x:v>
      </x:c>
      <x:c r="S37" s="22" t="str">
        <x:v>已核验</x:v>
      </x:c>
      <x:c r="T37" s="22" t="str">
        <x:v>https://www.mem.gov.cn/fw/flfgbz/bz/bzwb/202603/t20260325_598037.shtml</x:v>
      </x:c>
    </x:row>
    <x:row r="38">
      <x:c r="A38" s="22" t="n">
        <x:v>34</x:v>
      </x:c>
      <x:c r="B38" s="22" t="str">
        <x:v>行业标准</x:v>
      </x:c>
      <x:c r="C38" s="22" t="str">
        <x:v>固定式压力容器安全技术监察规程</x:v>
      </x:c>
      <x:c r="D38" s="22" t="str">
        <x:v>TSG 21-2016</x:v>
      </x:c>
      <x:c r="E38" s="22" t="str">
        <x:v>待核实</x:v>
      </x:c>
      <x:c r="F38" s="90" t="str"/>
      <x:c r="G38" s="90" t="str"/>
      <x:c r="H38" s="22" t="str">
        <x:v>国家市场监管总局</x:v>
      </x:c>
      <x:c r="I38" s="22" t="str">
        <x:v>建议复核</x:v>
      </x:c>
      <x:c r="J38" s="22" t="str">
        <x:v>企业画像满足该法规的受控触发条件：压力容器；候选法规元数据或适用规则尚待人工复核，不作为正式适用结论</x:v>
      </x:c>
      <x:c r="K38" s="22" t="str">
        <x:v>需结合企业实际逐条确认</x:v>
      </x:c>
      <x:c r="L38" s="22" t="str">
        <x:v>围绕设备安全管理识别适用要求并保留符合性证据。</x:v>
      </x:c>
      <x:c r="M38" s="22" t="str">
        <x:v>未开始</x:v>
      </x:c>
      <x:c r="N38" s="22" t="str">
        <x:v>EHS</x:v>
      </x:c>
      <x:c r="O38" s="22" t="str"/>
      <x:c r="P38" s="22" t="str">
        <x:v>需结合适用条款确认</x:v>
      </x:c>
      <x:c r="Q38" s="90" t="str"/>
      <x:c r="R38" s="22" t="str">
        <x:v>未设置</x:v>
      </x:c>
      <x:c r="S38" s="22" t="str">
        <x:v>待复核</x:v>
      </x:c>
      <x:c r="T38" s="22" t="str">
        <x:v>https://www.samr.gov.cn/</x:v>
      </x:c>
    </x:row>
    <x:row r="39">
      <x:c r="A39" s="22" t="n">
        <x:v>35</x:v>
      </x:c>
      <x:c r="B39" s="22" t="str">
        <x:v>行业标准</x:v>
      </x:c>
      <x:c r="C39" s="22" t="str">
        <x:v>化工企业工艺安全管理实施导则</x:v>
      </x:c>
      <x:c r="D39" s="22" t="str">
        <x:v>AQ/T 3034-2022</x:v>
      </x:c>
      <x:c r="E39" s="22" t="str">
        <x:v>待核实</x:v>
      </x:c>
      <x:c r="F39" s="90" t="str"/>
      <x:c r="G39" s="90" t="str"/>
      <x:c r="H39" s="22" t="str">
        <x:v>应急管理部</x:v>
      </x:c>
      <x:c r="I39" s="22" t="str">
        <x:v>建议复核</x:v>
      </x:c>
      <x:c r="J39" s="22" t="str">
        <x:v>企业画像满足该法规的受控触发条件：危险化学品使用企业、化学原料和化学制品制造、危化品储存；候选法规元数据或适用规则尚待人工复核，不作为正式适用结论</x:v>
      </x:c>
      <x:c r="K39" s="22" t="str">
        <x:v>需结合企业实际逐条确认</x:v>
      </x:c>
      <x:c r="L39" s="22" t="str">
        <x:v>围绕工艺安全管理识别适用要求并保留符合性证据。</x:v>
      </x:c>
      <x:c r="M39" s="22" t="str">
        <x:v>未开始</x:v>
      </x:c>
      <x:c r="N39" s="22" t="str">
        <x:v>EHS</x:v>
      </x:c>
      <x:c r="O39" s="22" t="str"/>
      <x:c r="P39" s="22" t="str">
        <x:v>需结合适用条款确认</x:v>
      </x:c>
      <x:c r="Q39" s="90" t="str"/>
      <x:c r="R39" s="22" t="str">
        <x:v>未设置</x:v>
      </x:c>
      <x:c r="S39" s="22" t="str">
        <x:v>待复核</x:v>
      </x:c>
      <x:c r="T39" s="22" t="str">
        <x:v>https://www.mem.gov.cn/gk/gwgg/</x:v>
      </x:c>
    </x:row>
    <x:row r="40">
      <x:c r="A40" s="23" t="n">
        <x:v>36</x:v>
      </x:c>
      <x:c r="B40" s="23" t="str">
        <x:v>行业标准</x:v>
      </x:c>
      <x:c r="C40" s="23" t="str">
        <x:v>移动式压力容器安全技术监察规程</x:v>
      </x:c>
      <x:c r="D40" s="23" t="str">
        <x:v>TSG R0005-2011</x:v>
      </x:c>
      <x:c r="E40" s="23" t="str">
        <x:v>待核实</x:v>
      </x:c>
      <x:c r="F40" s="25" t="str"/>
      <x:c r="G40" s="25" t="str"/>
      <x:c r="H40" s="23" t="str">
        <x:v>国家质检总局</x:v>
      </x:c>
      <x:c r="I40" s="23" t="str">
        <x:v>建议复核</x:v>
      </x:c>
      <x:c r="J40" s="23" t="str">
        <x:v>企业画像满足该法规的受控触发条件：压力容器；候选法规元数据或适用规则尚待人工复核，不作为正式适用结论</x:v>
      </x:c>
      <x:c r="K40" s="23" t="str">
        <x:v>需结合企业实际逐条确认</x:v>
      </x:c>
      <x:c r="L40" s="23" t="str">
        <x:v>围绕设备安全管理识别适用要求并保留符合性证据。</x:v>
      </x:c>
      <x:c r="M40" s="23" t="str">
        <x:v>未开始</x:v>
      </x:c>
      <x:c r="N40" s="23" t="str">
        <x:v>EHS</x:v>
      </x:c>
      <x:c r="O40" s="23" t="str"/>
      <x:c r="P40" s="23" t="str">
        <x:v>需结合适用条款确认</x:v>
      </x:c>
      <x:c r="Q40" s="25" t="str"/>
      <x:c r="R40" s="23" t="str">
        <x:v>未设置</x:v>
      </x:c>
      <x:c r="S40" s="23" t="str">
        <x:v>待复核</x:v>
      </x:c>
      <x:c r="T40" s="23" t="str">
        <x:v>https://www.samr.gov.cn/</x:v>
      </x:c>
    </x:row>
  </x:sheetData>
  <x:mergeCells>
    <x:mergeCell ref="A1:T1"/>
    <x:mergeCell ref="A2:T2"/>
  </x:mergeCells>
  <x:conditionalFormatting sqref="I5:I40">
    <x:cfRule type="containsText" dxfId="0" priority="1" operator="containsText" text="明确适用"/>
    <x:cfRule type="containsText" dxfId="1" priority="2" operator="containsText" text="建议复核"/>
  </x:conditionalFormatting>
  <x:dataValidations count="1">
    <x:dataValidation type="list" sqref="M5:M40">
      <x:formula1>"未开始,制度修订中,已转化,不适用"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a739fd4c2f4d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0" hidden="0" customWidth="1"/>
    <x:col min="3" max="3" width="38" hidden="0" customWidth="1"/>
    <x:col min="4" max="4" width="14" hidden="0" customWidth="1"/>
    <x:col min="5" max="5" width="32" hidden="0" customWidth="1"/>
    <x:col min="6" max="6" width="32" hidden="0" customWidth="1"/>
    <x:col min="7" max="7" width="20" hidden="0" customWidth="1"/>
    <x:col min="8" max="8" width="16" hidden="0" customWidth="1"/>
    <x:col min="9" max="9" width="16" hidden="0" customWidth="1"/>
    <x:col min="10" max="10" width="28" hidden="0" customWidth="1"/>
    <x:col min="11" max="11" width="16" hidden="0" customWidth="1"/>
    <x:col min="12" max="12" width="12" hidden="0" customWidth="1"/>
  </x:cols>
  <x:sheetData>
    <x:row r="1" ht="30" customHeight="1">
      <x:c r="A1" s="3" t="str">
        <x:v>符合性评价记录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前3行含演示填写内容，其余保持待评价；所有评价均为示例，不代表真实企业现状。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28" customHeight="1">
      <x:c r="A4" s="13" t="str">
        <x:v>法规或标准名称</x:v>
      </x:c>
      <x:c r="B4" s="88" t="str">
        <x:v>条款号/要求摘要</x:v>
      </x:c>
      <x:c r="C4" s="88" t="str">
        <x:v>公司现状与客观证据</x:v>
      </x:c>
      <x:c r="D4" s="88" t="str">
        <x:v>判定</x:v>
      </x:c>
      <x:c r="E4" s="88" t="str">
        <x:v>差距分析</x:v>
      </x:c>
      <x:c r="F4" s="88" t="str">
        <x:v>整改措施</x:v>
      </x:c>
      <x:c r="G4" s="88" t="str">
        <x:v>责任部门或责任人</x:v>
      </x:c>
      <x:c r="H4" s="88" t="str">
        <x:v>计划完成日期</x:v>
      </x:c>
      <x:c r="I4" s="88" t="str">
        <x:v>实际完成日期</x:v>
      </x:c>
      <x:c r="J4" s="88" t="str">
        <x:v>验证结果</x:v>
      </x:c>
      <x:c r="K4" s="88" t="str">
        <x:v>自动状态</x:v>
      </x:c>
      <x:c r="L4" s="14" t="str">
        <x:v>逾期天数</x:v>
      </x:c>
    </x:row>
    <x:row r="5">
      <x:c r="A5" s="21" t="str">
        <x:v>中华人民共和国危险化学品安全法</x:v>
      </x:c>
      <x:c r="B5" s="21" t="str">
        <x:v>需结合企业实际逐条确认</x:v>
      </x:c>
      <x:c r="C5" s="21" t="str">
        <x:v>演示：已建立制度并抽查一份培训记录</x:v>
      </x:c>
      <x:c r="D5" s="21" t="str">
        <x:v>符合</x:v>
      </x:c>
      <x:c r="E5" s="21" t="str"/>
      <x:c r="F5" s="21" t="str"/>
      <x:c r="G5" s="21" t="str">
        <x:v>示例责任人</x:v>
      </x:c>
      <x:c r="H5" s="89" t="str"/>
      <x:c r="I5" s="89" t="str"/>
      <x:c r="J5" s="21" t="str"/>
      <x:c r="K5" s="21" t="str">
        <x:f>IF(OR(D5="符合",D5="不适用"),"已关闭",IF(D5="待评价","未开始",IF(AND(I5&lt;&gt;"",J5&lt;&gt;""),"已关闭",IF(I5&lt;&gt;"","待验证",IF(AND(H5&lt;&gt;"",H5&lt;TODAY()),"已逾期","整改中")))))</x:f>
        <x:v>已关闭</x:v>
      </x:c>
      <x:c r="L5" s="21" t="n">
        <x:f>IF(AND(H5&lt;&gt;"",H5&lt;TODAY(),K5&lt;&gt;"已关闭"),TODAY()-H5,0)</x:f>
        <x:v>0</x:v>
      </x:c>
    </x:row>
    <x:row r="6">
      <x:c r="A6" s="22" t="str">
        <x:v>安全生产法</x:v>
      </x:c>
      <x:c r="B6" s="22" t="str">
        <x:v>需结合企业实际逐条确认</x:v>
      </x:c>
      <x:c r="C6" s="22" t="str">
        <x:v>演示：已有制度但年度评审记录不完整</x:v>
      </x:c>
      <x:c r="D6" s="22" t="str">
        <x:v>基本符合</x:v>
      </x:c>
      <x:c r="E6" s="22" t="str">
        <x:v>演示：缺少本年度评审记录</x:v>
      </x:c>
      <x:c r="F6" s="22" t="str">
        <x:v>演示：完成制度评审并补充记录</x:v>
      </x:c>
      <x:c r="G6" s="22" t="str">
        <x:v>示例责任人</x:v>
      </x:c>
      <x:c r="H6" s="90" t="n">
        <x:v>46280</x:v>
      </x:c>
      <x:c r="I6" s="90" t="str"/>
      <x:c r="J6" s="22" t="str"/>
      <x:c r="K6" s="22" t="str">
        <x:f>IF(OR(D6="符合",D6="不适用"),"已关闭",IF(D6="待评价","未开始",IF(AND(I6&lt;&gt;"",J6&lt;&gt;""),"已关闭",IF(I6&lt;&gt;"","待验证",IF(AND(H6&lt;&gt;"",H6&lt;TODAY()),"已逾期","整改中")))))</x:f>
        <x:v>整改中</x:v>
      </x:c>
      <x:c r="L6" s="22" t="n">
        <x:f>IF(AND(H6&lt;&gt;"",H6&lt;TODAY(),K6&lt;&gt;"已关闭"),TODAY()-H6,0)</x:f>
        <x:v>0</x:v>
      </x:c>
    </x:row>
    <x:row r="7">
      <x:c r="A7" s="22" t="str">
        <x:v>大气污染防治法</x:v>
      </x:c>
      <x:c r="B7" s="22" t="str">
        <x:v>需结合企业实际逐条确认</x:v>
      </x:c>
      <x:c r="C7" s="22" t="str">
        <x:v>演示：未提供对应监测记录</x:v>
      </x:c>
      <x:c r="D7" s="22" t="str">
        <x:v>不符合</x:v>
      </x:c>
      <x:c r="E7" s="22" t="str">
        <x:v>演示：缺少监测证据</x:v>
      </x:c>
      <x:c r="F7" s="22" t="str">
        <x:v>演示：制定监测计划并保留报告</x:v>
      </x:c>
      <x:c r="G7" s="22" t="str">
        <x:v>示例责任人</x:v>
      </x:c>
      <x:c r="H7" s="90" t="n">
        <x:v>46218</x:v>
      </x:c>
      <x:c r="I7" s="90" t="str"/>
      <x:c r="J7" s="22" t="str"/>
      <x:c r="K7" s="22" t="str">
        <x:f>IF(OR(D7="符合",D7="不适用"),"已关闭",IF(D7="待评价","未开始",IF(AND(I7&lt;&gt;"",J7&lt;&gt;""),"已关闭",IF(I7&lt;&gt;"","待验证",IF(AND(H7&lt;&gt;"",H7&lt;TODAY()),"已逾期","整改中")))))</x:f>
        <x:v>已逾期</x:v>
      </x:c>
      <x:c r="L7" s="22" t="n">
        <x:f>IF(AND(H7&lt;&gt;"",H7&lt;TODAY(),K7&lt;&gt;"已关闭"),TODAY()-H7,0)</x:f>
        <x:v>17</x:v>
      </x:c>
    </x:row>
    <x:row r="8">
      <x:c r="A8" s="22" t="str">
        <x:v>环境保护法</x:v>
      </x:c>
      <x:c r="B8" s="22" t="str">
        <x:v>需结合企业实际逐条确认</x:v>
      </x:c>
      <x:c r="C8" s="22" t="str"/>
      <x:c r="D8" s="22" t="str">
        <x:v>待评价</x:v>
      </x:c>
      <x:c r="E8" s="22" t="str"/>
      <x:c r="F8" s="22" t="str"/>
      <x:c r="G8" s="22" t="str"/>
      <x:c r="H8" s="90" t="str"/>
      <x:c r="I8" s="90" t="str"/>
      <x:c r="J8" s="22" t="str"/>
      <x:c r="K8" s="22" t="str">
        <x:f>IF(OR(D8="符合",D8="不适用"),"已关闭",IF(D8="待评价","未开始",IF(AND(I8&lt;&gt;"",J8&lt;&gt;""),"已关闭",IF(I8&lt;&gt;"","待验证",IF(AND(H8&lt;&gt;"",H8&lt;TODAY()),"已逾期","整改中")))))</x:f>
        <x:v>未开始</x:v>
      </x:c>
      <x:c r="L8" s="22" t="n">
        <x:f>IF(AND(H8&lt;&gt;"",H8&lt;TODAY(),K8&lt;&gt;"已关闭"),TODAY()-H8,0)</x:f>
        <x:v>0</x:v>
      </x:c>
    </x:row>
    <x:row r="9">
      <x:c r="A9" s="22" t="str">
        <x:v>环境保护税法</x:v>
      </x:c>
      <x:c r="B9" s="22" t="str">
        <x:v>需结合企业实际逐条确认</x:v>
      </x:c>
      <x:c r="C9" s="22" t="str"/>
      <x:c r="D9" s="22" t="str">
        <x:v>待评价</x:v>
      </x:c>
      <x:c r="E9" s="22" t="str"/>
      <x:c r="F9" s="22" t="str"/>
      <x:c r="G9" s="22" t="str"/>
      <x:c r="H9" s="90" t="str"/>
      <x:c r="I9" s="90" t="str"/>
      <x:c r="J9" s="22" t="str"/>
      <x:c r="K9" s="22" t="str">
        <x:f>IF(OR(D9="符合",D9="不适用"),"已关闭",IF(D9="待评价","未开始",IF(AND(I9&lt;&gt;"",J9&lt;&gt;""),"已关闭",IF(I9&lt;&gt;"","待验证",IF(AND(H9&lt;&gt;"",H9&lt;TODAY()),"已逾期","整改中")))))</x:f>
        <x:v>未开始</x:v>
      </x:c>
      <x:c r="L9" s="22" t="n">
        <x:f>IF(AND(H9&lt;&gt;"",H9&lt;TODAY(),K9&lt;&gt;"已关闭"),TODAY()-H9,0)</x:f>
        <x:v>0</x:v>
      </x:c>
    </x:row>
    <x:row r="10">
      <x:c r="A10" s="22" t="str">
        <x:v>环境影响评价法</x:v>
      </x:c>
      <x:c r="B10" s="22" t="str">
        <x:v>需结合企业实际逐条确认</x:v>
      </x:c>
      <x:c r="C10" s="22" t="str"/>
      <x:c r="D10" s="22" t="str">
        <x:v>待评价</x:v>
      </x:c>
      <x:c r="E10" s="22" t="str"/>
      <x:c r="F10" s="22" t="str"/>
      <x:c r="G10" s="22" t="str"/>
      <x:c r="H10" s="90" t="str"/>
      <x:c r="I10" s="90" t="str"/>
      <x:c r="J10" s="22" t="str"/>
      <x:c r="K10" s="22" t="str">
        <x:f>IF(OR(D10="符合",D10="不适用"),"已关闭",IF(D10="待评价","未开始",IF(AND(I10&lt;&gt;"",J10&lt;&gt;""),"已关闭",IF(I10&lt;&gt;"","待验证",IF(AND(H10&lt;&gt;"",H10&lt;TODAY()),"已逾期","整改中")))))</x:f>
        <x:v>未开始</x:v>
      </x:c>
      <x:c r="L10" s="22" t="n">
        <x:f>IF(AND(H10&lt;&gt;"",H10&lt;TODAY(),K10&lt;&gt;"已关闭"),TODAY()-H10,0)</x:f>
        <x:v>0</x:v>
      </x:c>
    </x:row>
    <x:row r="11">
      <x:c r="A11" s="22" t="str">
        <x:v>清洁生产促进法</x:v>
      </x:c>
      <x:c r="B11" s="22" t="str">
        <x:v>需结合企业实际逐条确认</x:v>
      </x:c>
      <x:c r="C11" s="22" t="str"/>
      <x:c r="D11" s="22" t="str">
        <x:v>待评价</x:v>
      </x:c>
      <x:c r="E11" s="22" t="str"/>
      <x:c r="F11" s="22" t="str"/>
      <x:c r="G11" s="22" t="str"/>
      <x:c r="H11" s="90" t="str"/>
      <x:c r="I11" s="90" t="str"/>
      <x:c r="J11" s="22" t="str"/>
      <x:c r="K11" s="22" t="str">
        <x:f>IF(OR(D11="符合",D11="不适用"),"已关闭",IF(D11="待评价","未开始",IF(AND(I11&lt;&gt;"",J11&lt;&gt;""),"已关闭",IF(I11&lt;&gt;"","待验证",IF(AND(H11&lt;&gt;"",H11&lt;TODAY()),"已逾期","整改中")))))</x:f>
        <x:v>未开始</x:v>
      </x:c>
      <x:c r="L11" s="22" t="n">
        <x:f>IF(AND(H11&lt;&gt;"",H11&lt;TODAY(),K11&lt;&gt;"已关闭"),TODAY()-H11,0)</x:f>
        <x:v>0</x:v>
      </x:c>
    </x:row>
    <x:row r="12">
      <x:c r="A12" s="22" t="str">
        <x:v>水污染防治法</x:v>
      </x:c>
      <x:c r="B12" s="22" t="str">
        <x:v>需结合企业实际逐条确认</x:v>
      </x:c>
      <x:c r="C12" s="22" t="str"/>
      <x:c r="D12" s="22" t="str">
        <x:v>待评价</x:v>
      </x:c>
      <x:c r="E12" s="22" t="str"/>
      <x:c r="F12" s="22" t="str"/>
      <x:c r="G12" s="22" t="str"/>
      <x:c r="H12" s="90" t="str"/>
      <x:c r="I12" s="90" t="str"/>
      <x:c r="J12" s="22" t="str"/>
      <x:c r="K12" s="22" t="str">
        <x:f>IF(OR(D12="符合",D12="不适用"),"已关闭",IF(D12="待评价","未开始",IF(AND(I12&lt;&gt;"",J12&lt;&gt;""),"已关闭",IF(I12&lt;&gt;"","待验证",IF(AND(H12&lt;&gt;"",H12&lt;TODAY()),"已逾期","整改中")))))</x:f>
        <x:v>未开始</x:v>
      </x:c>
      <x:c r="L12" s="22" t="n">
        <x:f>IF(AND(H12&lt;&gt;"",H12&lt;TODAY(),K12&lt;&gt;"已关闭"),TODAY()-H12,0)</x:f>
        <x:v>0</x:v>
      </x:c>
    </x:row>
    <x:row r="13">
      <x:c r="A13" s="22" t="str">
        <x:v>特种设备安全法</x:v>
      </x:c>
      <x:c r="B13" s="22" t="str">
        <x:v>需结合企业实际逐条确认</x:v>
      </x:c>
      <x:c r="C13" s="22" t="str"/>
      <x:c r="D13" s="22" t="str">
        <x:v>待评价</x:v>
      </x:c>
      <x:c r="E13" s="22" t="str"/>
      <x:c r="F13" s="22" t="str"/>
      <x:c r="G13" s="22" t="str"/>
      <x:c r="H13" s="90" t="str"/>
      <x:c r="I13" s="90" t="str"/>
      <x:c r="J13" s="22" t="str"/>
      <x:c r="K13" s="22" t="str">
        <x:f>IF(OR(D13="符合",D13="不适用"),"已关闭",IF(D13="待评价","未开始",IF(AND(I13&lt;&gt;"",J13&lt;&gt;""),"已关闭",IF(I13&lt;&gt;"","待验证",IF(AND(H13&lt;&gt;"",H13&lt;TODAY()),"已逾期","整改中")))))</x:f>
        <x:v>未开始</x:v>
      </x:c>
      <x:c r="L13" s="22" t="n">
        <x:f>IF(AND(H13&lt;&gt;"",H13&lt;TODAY(),K13&lt;&gt;"已关闭"),TODAY()-H13,0)</x:f>
        <x:v>0</x:v>
      </x:c>
    </x:row>
    <x:row r="14">
      <x:c r="A14" s="22" t="str">
        <x:v>土壤污染防治法</x:v>
      </x:c>
      <x:c r="B14" s="22" t="str">
        <x:v>需结合企业实际逐条确认</x:v>
      </x:c>
      <x:c r="C14" s="22" t="str"/>
      <x:c r="D14" s="22" t="str">
        <x:v>待评价</x:v>
      </x:c>
      <x:c r="E14" s="22" t="str"/>
      <x:c r="F14" s="22" t="str"/>
      <x:c r="G14" s="22" t="str"/>
      <x:c r="H14" s="90" t="str"/>
      <x:c r="I14" s="90" t="str"/>
      <x:c r="J14" s="22" t="str"/>
      <x:c r="K14" s="22" t="str">
        <x:f>IF(OR(D14="符合",D14="不适用"),"已关闭",IF(D14="待评价","未开始",IF(AND(I14&lt;&gt;"",J14&lt;&gt;""),"已关闭",IF(I14&lt;&gt;"","待验证",IF(AND(H14&lt;&gt;"",H14&lt;TODAY()),"已逾期","整改中")))))</x:f>
        <x:v>未开始</x:v>
      </x:c>
      <x:c r="L14" s="22" t="n">
        <x:f>IF(AND(H14&lt;&gt;"",H14&lt;TODAY(),K14&lt;&gt;"已关闭"),TODAY()-H14,0)</x:f>
        <x:v>0</x:v>
      </x:c>
    </x:row>
    <x:row r="15">
      <x:c r="A15" s="22" t="str">
        <x:v>职业病防治法</x:v>
      </x:c>
      <x:c r="B15" s="22" t="str">
        <x:v>需结合企业实际逐条确认</x:v>
      </x:c>
      <x:c r="C15" s="22" t="str"/>
      <x:c r="D15" s="22" t="str">
        <x:v>待评价</x:v>
      </x:c>
      <x:c r="E15" s="22" t="str"/>
      <x:c r="F15" s="22" t="str"/>
      <x:c r="G15" s="22" t="str"/>
      <x:c r="H15" s="90" t="str"/>
      <x:c r="I15" s="90" t="str"/>
      <x:c r="J15" s="22" t="str"/>
      <x:c r="K15" s="22" t="str">
        <x:f>IF(OR(D15="符合",D15="不适用"),"已关闭",IF(D15="待评价","未开始",IF(AND(I15&lt;&gt;"",J15&lt;&gt;""),"已关闭",IF(I15&lt;&gt;"","待验证",IF(AND(H15&lt;&gt;"",H15&lt;TODAY()),"已逾期","整改中")))))</x:f>
        <x:v>未开始</x:v>
      </x:c>
      <x:c r="L15" s="22" t="n">
        <x:f>IF(AND(H15&lt;&gt;"",H15&lt;TODAY(),K15&lt;&gt;"已关闭"),TODAY()-H15,0)</x:f>
        <x:v>0</x:v>
      </x:c>
    </x:row>
    <x:row r="16">
      <x:c r="A16" s="22" t="str">
        <x:v>工伤保险条例</x:v>
      </x:c>
      <x:c r="B16" s="22" t="str">
        <x:v>需结合企业实际逐条确认</x:v>
      </x:c>
      <x:c r="C16" s="22" t="str"/>
      <x:c r="D16" s="22" t="str">
        <x:v>待评价</x:v>
      </x:c>
      <x:c r="E16" s="22" t="str"/>
      <x:c r="F16" s="22" t="str"/>
      <x:c r="G16" s="22" t="str"/>
      <x:c r="H16" s="90" t="str"/>
      <x:c r="I16" s="90" t="str"/>
      <x:c r="J16" s="22" t="str"/>
      <x:c r="K16" s="22" t="str">
        <x:f>IF(OR(D16="符合",D16="不适用"),"已关闭",IF(D16="待评价","未开始",IF(AND(I16&lt;&gt;"",J16&lt;&gt;""),"已关闭",IF(I16&lt;&gt;"","待验证",IF(AND(H16&lt;&gt;"",H16&lt;TODAY()),"已逾期","整改中")))))</x:f>
        <x:v>未开始</x:v>
      </x:c>
      <x:c r="L16" s="22" t="n">
        <x:f>IF(AND(H16&lt;&gt;"",H16&lt;TODAY(),K16&lt;&gt;"已关闭"),TODAY()-H16,0)</x:f>
        <x:v>0</x:v>
      </x:c>
    </x:row>
    <x:row r="17">
      <x:c r="A17" s="22" t="str">
        <x:v>女职工劳动保护特别规定</x:v>
      </x:c>
      <x:c r="B17" s="22" t="str">
        <x:v>需结合企业实际逐条确认</x:v>
      </x:c>
      <x:c r="C17" s="22" t="str"/>
      <x:c r="D17" s="22" t="str">
        <x:v>待评价</x:v>
      </x:c>
      <x:c r="E17" s="22" t="str"/>
      <x:c r="F17" s="22" t="str"/>
      <x:c r="G17" s="22" t="str"/>
      <x:c r="H17" s="90" t="str"/>
      <x:c r="I17" s="90" t="str"/>
      <x:c r="J17" s="22" t="str"/>
      <x:c r="K17" s="22" t="str">
        <x:f>IF(OR(D17="符合",D17="不适用"),"已关闭",IF(D17="待评价","未开始",IF(AND(I17&lt;&gt;"",J17&lt;&gt;""),"已关闭",IF(I17&lt;&gt;"","待验证",IF(AND(H17&lt;&gt;"",H17&lt;TODAY()),"已逾期","整改中")))))</x:f>
        <x:v>未开始</x:v>
      </x:c>
      <x:c r="L17" s="22" t="n">
        <x:f>IF(AND(H17&lt;&gt;"",H17&lt;TODAY(),K17&lt;&gt;"已关闭"),TODAY()-H17,0)</x:f>
        <x:v>0</x:v>
      </x:c>
    </x:row>
    <x:row r="18">
      <x:c r="A18" s="22" t="str">
        <x:v>生产安全事故报告和调查处理条例</x:v>
      </x:c>
      <x:c r="B18" s="22" t="str">
        <x:v>需结合企业实际逐条确认</x:v>
      </x:c>
      <x:c r="C18" s="22" t="str"/>
      <x:c r="D18" s="22" t="str">
        <x:v>待评价</x:v>
      </x:c>
      <x:c r="E18" s="22" t="str"/>
      <x:c r="F18" s="22" t="str"/>
      <x:c r="G18" s="22" t="str"/>
      <x:c r="H18" s="90" t="str"/>
      <x:c r="I18" s="90" t="str"/>
      <x:c r="J18" s="22" t="str"/>
      <x:c r="K18" s="22" t="str">
        <x:f>IF(OR(D18="符合",D18="不适用"),"已关闭",IF(D18="待评价","未开始",IF(AND(I18&lt;&gt;"",J18&lt;&gt;""),"已关闭",IF(I18&lt;&gt;"","待验证",IF(AND(H18&lt;&gt;"",H18&lt;TODAY()),"已逾期","整改中")))))</x:f>
        <x:v>未开始</x:v>
      </x:c>
      <x:c r="L18" s="22" t="n">
        <x:f>IF(AND(H18&lt;&gt;"",H18&lt;TODAY(),K18&lt;&gt;"已关闭"),TODAY()-H18,0)</x:f>
        <x:v>0</x:v>
      </x:c>
    </x:row>
    <x:row r="19">
      <x:c r="A19" s="22" t="str">
        <x:v>生产安全事故应急条例</x:v>
      </x:c>
      <x:c r="B19" s="22" t="str">
        <x:v>需结合企业实际逐条确认</x:v>
      </x:c>
      <x:c r="C19" s="22" t="str"/>
      <x:c r="D19" s="22" t="str">
        <x:v>待评价</x:v>
      </x:c>
      <x:c r="E19" s="22" t="str"/>
      <x:c r="F19" s="22" t="str"/>
      <x:c r="G19" s="22" t="str"/>
      <x:c r="H19" s="90" t="str"/>
      <x:c r="I19" s="90" t="str"/>
      <x:c r="J19" s="22" t="str"/>
      <x:c r="K19" s="22" t="str">
        <x:f>IF(OR(D19="符合",D19="不适用"),"已关闭",IF(D19="待评价","未开始",IF(AND(I19&lt;&gt;"",J19&lt;&gt;""),"已关闭",IF(I19&lt;&gt;"","待验证",IF(AND(H19&lt;&gt;"",H19&lt;TODAY()),"已逾期","整改中")))))</x:f>
        <x:v>未开始</x:v>
      </x:c>
      <x:c r="L19" s="22" t="n">
        <x:f>IF(AND(H19&lt;&gt;"",H19&lt;TODAY(),K19&lt;&gt;"已关闭"),TODAY()-H19,0)</x:f>
        <x:v>0</x:v>
      </x:c>
    </x:row>
    <x:row r="20">
      <x:c r="A20" s="22" t="str">
        <x:v>危险化学品安全管理条例</x:v>
      </x:c>
      <x:c r="B20" s="22" t="str">
        <x:v>需结合企业实际逐条确认</x:v>
      </x:c>
      <x:c r="C20" s="22" t="str"/>
      <x:c r="D20" s="22" t="str">
        <x:v>待评价</x:v>
      </x:c>
      <x:c r="E20" s="22" t="str"/>
      <x:c r="F20" s="22" t="str"/>
      <x:c r="G20" s="22" t="str"/>
      <x:c r="H20" s="90" t="str"/>
      <x:c r="I20" s="90" t="str"/>
      <x:c r="J20" s="22" t="str"/>
      <x:c r="K20" s="22" t="str">
        <x:f>IF(OR(D20="符合",D20="不适用"),"已关闭",IF(D20="待评价","未开始",IF(AND(I20&lt;&gt;"",J20&lt;&gt;""),"已关闭",IF(I20&lt;&gt;"","待验证",IF(AND(H20&lt;&gt;"",H20&lt;TODAY()),"已逾期","整改中")))))</x:f>
        <x:v>未开始</x:v>
      </x:c>
      <x:c r="L20" s="22" t="n">
        <x:f>IF(AND(H20&lt;&gt;"",H20&lt;TODAY(),K20&lt;&gt;"已关闭"),TODAY()-H20,0)</x:f>
        <x:v>0</x:v>
      </x:c>
    </x:row>
    <x:row r="21">
      <x:c r="A21" s="22" t="str">
        <x:v>山东省生产安全事故隐患排查治理办法</x:v>
      </x:c>
      <x:c r="B21" s="22" t="str">
        <x:v>需结合企业实际逐条确认</x:v>
      </x:c>
      <x:c r="C21" s="22" t="str"/>
      <x:c r="D21" s="22" t="str">
        <x:v>待评价</x:v>
      </x:c>
      <x:c r="E21" s="22" t="str"/>
      <x:c r="F21" s="22" t="str"/>
      <x:c r="G21" s="22" t="str"/>
      <x:c r="H21" s="90" t="str"/>
      <x:c r="I21" s="90" t="str"/>
      <x:c r="J21" s="22" t="str"/>
      <x:c r="K21" s="22" t="str">
        <x:f>IF(OR(D21="符合",D21="不适用"),"已关闭",IF(D21="待评价","未开始",IF(AND(I21&lt;&gt;"",J21&lt;&gt;""),"已关闭",IF(I21&lt;&gt;"","待验证",IF(AND(H21&lt;&gt;"",H21&lt;TODAY()),"已逾期","整改中")))))</x:f>
        <x:v>未开始</x:v>
      </x:c>
      <x:c r="L21" s="22" t="n">
        <x:f>IF(AND(H21&lt;&gt;"",H21&lt;TODAY(),K21&lt;&gt;"已关闭"),TODAY()-H21,0)</x:f>
        <x:v>0</x:v>
      </x:c>
    </x:row>
    <x:row r="22">
      <x:c r="A22" s="22" t="str">
        <x:v>职业健康监护技术规范</x:v>
      </x:c>
      <x:c r="B22" s="22" t="str">
        <x:v>需人工确认</x:v>
      </x:c>
      <x:c r="C22" s="22" t="str"/>
      <x:c r="D22" s="22" t="str">
        <x:v>待评价</x:v>
      </x:c>
      <x:c r="E22" s="22" t="str"/>
      <x:c r="F22" s="22" t="str"/>
      <x:c r="G22" s="22" t="str"/>
      <x:c r="H22" s="90" t="str"/>
      <x:c r="I22" s="90" t="str"/>
      <x:c r="J22" s="22" t="str"/>
      <x:c r="K22" s="22" t="str">
        <x:f>IF(OR(D22="符合",D22="不适用"),"已关闭",IF(D22="待评价","未开始",IF(AND(I22&lt;&gt;"",J22&lt;&gt;""),"已关闭",IF(I22&lt;&gt;"","待验证",IF(AND(H22&lt;&gt;"",H22&lt;TODAY()),"已逾期","整改中")))))</x:f>
        <x:v>未开始</x:v>
      </x:c>
      <x:c r="L22" s="22" t="n">
        <x:f>IF(AND(H22&lt;&gt;"",H22&lt;TODAY(),K22&lt;&gt;"已关闭"),TODAY()-H22,0)</x:f>
        <x:v>0</x:v>
      </x:c>
    </x:row>
    <x:row r="23">
      <x:c r="A23" s="22" t="str">
        <x:v>工贸企业有限空间作业安全管理与监督暂行规定</x:v>
      </x:c>
      <x:c r="B23" s="22" t="str">
        <x:v>需结合企业实际逐条确认</x:v>
      </x:c>
      <x:c r="C23" s="22" t="str"/>
      <x:c r="D23" s="22" t="str">
        <x:v>待评价</x:v>
      </x:c>
      <x:c r="E23" s="22" t="str"/>
      <x:c r="F23" s="22" t="str"/>
      <x:c r="G23" s="22" t="str"/>
      <x:c r="H23" s="90" t="str"/>
      <x:c r="I23" s="90" t="str"/>
      <x:c r="J23" s="22" t="str"/>
      <x:c r="K23" s="22" t="str">
        <x:f>IF(OR(D23="符合",D23="不适用"),"已关闭",IF(D23="待评价","未开始",IF(AND(I23&lt;&gt;"",J23&lt;&gt;""),"已关闭",IF(I23&lt;&gt;"","待验证",IF(AND(H23&lt;&gt;"",H23&lt;TODAY()),"已逾期","整改中")))))</x:f>
        <x:v>未开始</x:v>
      </x:c>
      <x:c r="L23" s="22" t="n">
        <x:f>IF(AND(H23&lt;&gt;"",H23&lt;TODAY(),K23&lt;&gt;"已关闭"),TODAY()-H23,0)</x:f>
        <x:v>0</x:v>
      </x:c>
    </x:row>
    <x:row r="24">
      <x:c r="A24" s="22" t="str">
        <x:v>工作场所职业卫生管理规定</x:v>
      </x:c>
      <x:c r="B24" s="22" t="str">
        <x:v>需结合企业实际逐条确认</x:v>
      </x:c>
      <x:c r="C24" s="22" t="str"/>
      <x:c r="D24" s="22" t="str">
        <x:v>待评价</x:v>
      </x:c>
      <x:c r="E24" s="22" t="str"/>
      <x:c r="F24" s="22" t="str"/>
      <x:c r="G24" s="22" t="str"/>
      <x:c r="H24" s="90" t="str"/>
      <x:c r="I24" s="90" t="str"/>
      <x:c r="J24" s="22" t="str"/>
      <x:c r="K24" s="22" t="str">
        <x:f>IF(OR(D24="符合",D24="不适用"),"已关闭",IF(D24="待评价","未开始",IF(AND(I24&lt;&gt;"",J24&lt;&gt;""),"已关闭",IF(I24&lt;&gt;"","待验证",IF(AND(H24&lt;&gt;"",H24&lt;TODAY()),"已逾期","整改中")))))</x:f>
        <x:v>未开始</x:v>
      </x:c>
      <x:c r="L24" s="22" t="n">
        <x:f>IF(AND(H24&lt;&gt;"",H24&lt;TODAY(),K24&lt;&gt;"已关闭"),TODAY()-H24,0)</x:f>
        <x:v>0</x:v>
      </x:c>
    </x:row>
    <x:row r="25">
      <x:c r="A25" s="22" t="str">
        <x:v>危险化学品登记管理办法</x:v>
      </x:c>
      <x:c r="B25" s="22" t="str">
        <x:v>需结合企业实际逐条确认</x:v>
      </x:c>
      <x:c r="C25" s="22" t="str"/>
      <x:c r="D25" s="22" t="str">
        <x:v>待评价</x:v>
      </x:c>
      <x:c r="E25" s="22" t="str"/>
      <x:c r="F25" s="22" t="str"/>
      <x:c r="G25" s="22" t="str"/>
      <x:c r="H25" s="90" t="str"/>
      <x:c r="I25" s="90" t="str"/>
      <x:c r="J25" s="22" t="str"/>
      <x:c r="K25" s="22" t="str">
        <x:f>IF(OR(D25="符合",D25="不适用"),"已关闭",IF(D25="待评价","未开始",IF(AND(I25&lt;&gt;"",J25&lt;&gt;""),"已关闭",IF(I25&lt;&gt;"","待验证",IF(AND(H25&lt;&gt;"",H25&lt;TODAY()),"已逾期","整改中")))))</x:f>
        <x:v>未开始</x:v>
      </x:c>
      <x:c r="L25" s="22" t="n">
        <x:f>IF(AND(H25&lt;&gt;"",H25&lt;TODAY(),K25&lt;&gt;"已关闭"),TODAY()-H25,0)</x:f>
        <x:v>0</x:v>
      </x:c>
    </x:row>
    <x:row r="26">
      <x:c r="A26" s="22" t="str">
        <x:v>用人单位职业健康监护监督管理办法</x:v>
      </x:c>
      <x:c r="B26" s="22" t="str">
        <x:v>需结合企业实际逐条确认</x:v>
      </x:c>
      <x:c r="C26" s="22" t="str"/>
      <x:c r="D26" s="22" t="str">
        <x:v>待评价</x:v>
      </x:c>
      <x:c r="E26" s="22" t="str"/>
      <x:c r="F26" s="22" t="str"/>
      <x:c r="G26" s="22" t="str"/>
      <x:c r="H26" s="90" t="str"/>
      <x:c r="I26" s="90" t="str"/>
      <x:c r="J26" s="22" t="str"/>
      <x:c r="K26" s="22" t="str">
        <x:f>IF(OR(D26="符合",D26="不适用"),"已关闭",IF(D26="待评价","未开始",IF(AND(I26&lt;&gt;"",J26&lt;&gt;""),"已关闭",IF(I26&lt;&gt;"","待验证",IF(AND(H26&lt;&gt;"",H26&lt;TODAY()),"已逾期","整改中")))))</x:f>
        <x:v>未开始</x:v>
      </x:c>
      <x:c r="L26" s="22" t="n">
        <x:f>IF(AND(H26&lt;&gt;"",H26&lt;TODAY(),K26&lt;&gt;"已关闭"),TODAY()-H26,0)</x:f>
        <x:v>0</x:v>
      </x:c>
    </x:row>
    <x:row r="27">
      <x:c r="A27" s="22" t="str">
        <x:v>危险化学品企业安全生产标准化通用规范</x:v>
      </x:c>
      <x:c r="B27" s="22" t="str">
        <x:v>需结合企业实际逐条确认</x:v>
      </x:c>
      <x:c r="C27" s="22" t="str"/>
      <x:c r="D27" s="22" t="str">
        <x:v>待评价</x:v>
      </x:c>
      <x:c r="E27" s="22" t="str"/>
      <x:c r="F27" s="22" t="str"/>
      <x:c r="G27" s="22" t="str"/>
      <x:c r="H27" s="90" t="str"/>
      <x:c r="I27" s="90" t="str"/>
      <x:c r="J27" s="22" t="str"/>
      <x:c r="K27" s="22" t="str">
        <x:f>IF(OR(D27="符合",D27="不适用"),"已关闭",IF(D27="待评价","未开始",IF(AND(I27&lt;&gt;"",J27&lt;&gt;""),"已关闭",IF(I27&lt;&gt;"","待验证",IF(AND(H27&lt;&gt;"",H27&lt;TODAY()),"已逾期","整改中")))))</x:f>
        <x:v>未开始</x:v>
      </x:c>
      <x:c r="L27" s="22" t="n">
        <x:f>IF(AND(H27&lt;&gt;"",H27&lt;TODAY(),K27&lt;&gt;"已关闭"),TODAY()-H27,0)</x:f>
        <x:v>0</x:v>
      </x:c>
    </x:row>
    <x:row r="28">
      <x:c r="A28" s="22" t="str">
        <x:v>高处作业分级</x:v>
      </x:c>
      <x:c r="B28" s="22" t="str">
        <x:v>需结合企业实际逐条确认</x:v>
      </x:c>
      <x:c r="C28" s="22" t="str"/>
      <x:c r="D28" s="22" t="str">
        <x:v>待评价</x:v>
      </x:c>
      <x:c r="E28" s="22" t="str"/>
      <x:c r="F28" s="22" t="str"/>
      <x:c r="G28" s="22" t="str"/>
      <x:c r="H28" s="90" t="str"/>
      <x:c r="I28" s="90" t="str"/>
      <x:c r="J28" s="22" t="str"/>
      <x:c r="K28" s="22" t="str">
        <x:f>IF(OR(D28="符合",D28="不适用"),"已关闭",IF(D28="待评价","未开始",IF(AND(I28&lt;&gt;"",J28&lt;&gt;""),"已关闭",IF(I28&lt;&gt;"","待验证",IF(AND(H28&lt;&gt;"",H28&lt;TODAY()),"已逾期","整改中")))))</x:f>
        <x:v>未开始</x:v>
      </x:c>
      <x:c r="L28" s="22" t="n">
        <x:f>IF(AND(H28&lt;&gt;"",H28&lt;TODAY(),K28&lt;&gt;"已关闭"),TODAY()-H28,0)</x:f>
        <x:v>0</x:v>
      </x:c>
    </x:row>
    <x:row r="29">
      <x:c r="A29" s="22" t="str">
        <x:v>工作场所空气中粉尘测定 第1部分：总粉尘浓度</x:v>
      </x:c>
      <x:c r="B29" s="22" t="str">
        <x:v>需结合企业实际逐条确认</x:v>
      </x:c>
      <x:c r="C29" s="22" t="str"/>
      <x:c r="D29" s="22" t="str">
        <x:v>待评价</x:v>
      </x:c>
      <x:c r="E29" s="22" t="str"/>
      <x:c r="F29" s="22" t="str"/>
      <x:c r="G29" s="22" t="str"/>
      <x:c r="H29" s="90" t="str"/>
      <x:c r="I29" s="90" t="str"/>
      <x:c r="J29" s="22" t="str"/>
      <x:c r="K29" s="22" t="str">
        <x:f>IF(OR(D29="符合",D29="不适用"),"已关闭",IF(D29="待评价","未开始",IF(AND(I29&lt;&gt;"",J29&lt;&gt;""),"已关闭",IF(I29&lt;&gt;"","待验证",IF(AND(H29&lt;&gt;"",H29&lt;TODAY()),"已逾期","整改中")))))</x:f>
        <x:v>未开始</x:v>
      </x:c>
      <x:c r="L29" s="22" t="n">
        <x:f>IF(AND(H29&lt;&gt;"",H29&lt;TODAY(),K29&lt;&gt;"已关闭"),TODAY()-H29,0)</x:f>
        <x:v>0</x:v>
      </x:c>
    </x:row>
    <x:row r="30">
      <x:c r="A30" s="22" t="str">
        <x:v>工作场所有害因素职业接触限值 第1部分：化学有害因素</x:v>
      </x:c>
      <x:c r="B30" s="22" t="str">
        <x:v>需结合企业实际逐条确认</x:v>
      </x:c>
      <x:c r="C30" s="22" t="str"/>
      <x:c r="D30" s="22" t="str">
        <x:v>待评价</x:v>
      </x:c>
      <x:c r="E30" s="22" t="str"/>
      <x:c r="F30" s="22" t="str"/>
      <x:c r="G30" s="22" t="str"/>
      <x:c r="H30" s="90" t="str"/>
      <x:c r="I30" s="90" t="str"/>
      <x:c r="J30" s="22" t="str"/>
      <x:c r="K30" s="22" t="str">
        <x:f>IF(OR(D30="符合",D30="不适用"),"已关闭",IF(D30="待评价","未开始",IF(AND(I30&lt;&gt;"",J30&lt;&gt;""),"已关闭",IF(I30&lt;&gt;"","待验证",IF(AND(H30&lt;&gt;"",H30&lt;TODAY()),"已逾期","整改中")))))</x:f>
        <x:v>未开始</x:v>
      </x:c>
      <x:c r="L30" s="22" t="n">
        <x:f>IF(AND(H30&lt;&gt;"",H30&lt;TODAY(),K30&lt;&gt;"已关闭"),TODAY()-H30,0)</x:f>
        <x:v>0</x:v>
      </x:c>
    </x:row>
    <x:row r="31">
      <x:c r="A31" s="22" t="str">
        <x:v>工作场所职业病危害警示标识</x:v>
      </x:c>
      <x:c r="B31" s="22" t="str">
        <x:v>需结合企业实际逐条确认</x:v>
      </x:c>
      <x:c r="C31" s="22" t="str"/>
      <x:c r="D31" s="22" t="str">
        <x:v>待评价</x:v>
      </x:c>
      <x:c r="E31" s="22" t="str"/>
      <x:c r="F31" s="22" t="str"/>
      <x:c r="G31" s="22" t="str"/>
      <x:c r="H31" s="90" t="str"/>
      <x:c r="I31" s="90" t="str"/>
      <x:c r="J31" s="22" t="str"/>
      <x:c r="K31" s="22" t="str">
        <x:f>IF(OR(D31="符合",D31="不适用"),"已关闭",IF(D31="待评价","未开始",IF(AND(I31&lt;&gt;"",J31&lt;&gt;""),"已关闭",IF(I31&lt;&gt;"","待验证",IF(AND(H31&lt;&gt;"",H31&lt;TODAY()),"已逾期","整改中")))))</x:f>
        <x:v>未开始</x:v>
      </x:c>
      <x:c r="L31" s="22" t="n">
        <x:f>IF(AND(H31&lt;&gt;"",H31&lt;TODAY(),K31&lt;&gt;"已关闭"),TODAY()-H31,0)</x:f>
        <x:v>0</x:v>
      </x:c>
    </x:row>
    <x:row r="32">
      <x:c r="A32" s="22" t="str">
        <x:v>生产过程危险和有害因素分类与代码</x:v>
      </x:c>
      <x:c r="B32" s="22" t="str">
        <x:v>需结合企业实际逐条确认</x:v>
      </x:c>
      <x:c r="C32" s="22" t="str"/>
      <x:c r="D32" s="22" t="str">
        <x:v>待评价</x:v>
      </x:c>
      <x:c r="E32" s="22" t="str"/>
      <x:c r="F32" s="22" t="str"/>
      <x:c r="G32" s="22" t="str"/>
      <x:c r="H32" s="90" t="str"/>
      <x:c r="I32" s="90" t="str"/>
      <x:c r="J32" s="22" t="str"/>
      <x:c r="K32" s="22" t="str">
        <x:f>IF(OR(D32="符合",D32="不适用"),"已关闭",IF(D32="待评价","未开始",IF(AND(I32&lt;&gt;"",J32&lt;&gt;""),"已关闭",IF(I32&lt;&gt;"","待验证",IF(AND(H32&lt;&gt;"",H32&lt;TODAY()),"已逾期","整改中")))))</x:f>
        <x:v>未开始</x:v>
      </x:c>
      <x:c r="L32" s="22" t="n">
        <x:f>IF(AND(H32&lt;&gt;"",H32&lt;TODAY(),K32&lt;&gt;"已关闭"),TODAY()-H32,0)</x:f>
        <x:v>0</x:v>
      </x:c>
    </x:row>
    <x:row r="33">
      <x:c r="A33" s="22" t="str">
        <x:v>危险废物贮存污染控制标准</x:v>
      </x:c>
      <x:c r="B33" s="22" t="str">
        <x:v>需结合企业实际逐条确认</x:v>
      </x:c>
      <x:c r="C33" s="22" t="str"/>
      <x:c r="D33" s="22" t="str">
        <x:v>待评价</x:v>
      </x:c>
      <x:c r="E33" s="22" t="str"/>
      <x:c r="F33" s="22" t="str"/>
      <x:c r="G33" s="22" t="str"/>
      <x:c r="H33" s="90" t="str"/>
      <x:c r="I33" s="90" t="str"/>
      <x:c r="J33" s="22" t="str"/>
      <x:c r="K33" s="22" t="str">
        <x:f>IF(OR(D33="符合",D33="不适用"),"已关闭",IF(D33="待评价","未开始",IF(AND(I33&lt;&gt;"",J33&lt;&gt;""),"已关闭",IF(I33&lt;&gt;"","待验证",IF(AND(H33&lt;&gt;"",H33&lt;TODAY()),"已逾期","整改中")))))</x:f>
        <x:v>未开始</x:v>
      </x:c>
      <x:c r="L33" s="22" t="n">
        <x:f>IF(AND(H33&lt;&gt;"",H33&lt;TODAY(),K33&lt;&gt;"已关闭"),TODAY()-H33,0)</x:f>
        <x:v>0</x:v>
      </x:c>
    </x:row>
    <x:row r="34">
      <x:c r="A34" s="22" t="str">
        <x:v>危险化学品储存通则</x:v>
      </x:c>
      <x:c r="B34" s="22" t="str">
        <x:v>需结合企业实际逐条确认</x:v>
      </x:c>
      <x:c r="C34" s="22" t="str"/>
      <x:c r="D34" s="22" t="str">
        <x:v>待评价</x:v>
      </x:c>
      <x:c r="E34" s="22" t="str"/>
      <x:c r="F34" s="22" t="str"/>
      <x:c r="G34" s="22" t="str"/>
      <x:c r="H34" s="90" t="str"/>
      <x:c r="I34" s="90" t="str"/>
      <x:c r="J34" s="22" t="str"/>
      <x:c r="K34" s="22" t="str">
        <x:f>IF(OR(D34="符合",D34="不适用"),"已关闭",IF(D34="待评价","未开始",IF(AND(I34&lt;&gt;"",J34&lt;&gt;""),"已关闭",IF(I34&lt;&gt;"","待验证",IF(AND(H34&lt;&gt;"",H34&lt;TODAY()),"已逾期","整改中")))))</x:f>
        <x:v>未开始</x:v>
      </x:c>
      <x:c r="L34" s="22" t="n">
        <x:f>IF(AND(H34&lt;&gt;"",H34&lt;TODAY(),K34&lt;&gt;"已关闭"),TODAY()-H34,0)</x:f>
        <x:v>0</x:v>
      </x:c>
    </x:row>
    <x:row r="35">
      <x:c r="A35" s="22" t="str">
        <x:v>危险化学品企业特殊作业安全规范</x:v>
      </x:c>
      <x:c r="B35" s="22" t="str">
        <x:v>需结合企业实际逐条确认</x:v>
      </x:c>
      <x:c r="C35" s="22" t="str"/>
      <x:c r="D35" s="22" t="str">
        <x:v>待评价</x:v>
      </x:c>
      <x:c r="E35" s="22" t="str"/>
      <x:c r="F35" s="22" t="str"/>
      <x:c r="G35" s="22" t="str"/>
      <x:c r="H35" s="90" t="str"/>
      <x:c r="I35" s="90" t="str"/>
      <x:c r="J35" s="22" t="str"/>
      <x:c r="K35" s="22" t="str">
        <x:f>IF(OR(D35="符合",D35="不适用"),"已关闭",IF(D35="待评价","未开始",IF(AND(I35&lt;&gt;"",J35&lt;&gt;""),"已关闭",IF(I35&lt;&gt;"","待验证",IF(AND(H35&lt;&gt;"",H35&lt;TODAY()),"已逾期","整改中")))))</x:f>
        <x:v>未开始</x:v>
      </x:c>
      <x:c r="L35" s="22" t="n">
        <x:f>IF(AND(H35&lt;&gt;"",H35&lt;TODAY(),K35&lt;&gt;"已关闭"),TODAY()-H35,0)</x:f>
        <x:v>0</x:v>
      </x:c>
    </x:row>
    <x:row r="36">
      <x:c r="A36" s="22" t="str">
        <x:v>易燃易爆性商品储存养护技术条件</x:v>
      </x:c>
      <x:c r="B36" s="22" t="str">
        <x:v>需结合企业实际逐条确认</x:v>
      </x:c>
      <x:c r="C36" s="22" t="str"/>
      <x:c r="D36" s="22" t="str">
        <x:v>待评价</x:v>
      </x:c>
      <x:c r="E36" s="22" t="str"/>
      <x:c r="F36" s="22" t="str"/>
      <x:c r="G36" s="22" t="str"/>
      <x:c r="H36" s="90" t="str"/>
      <x:c r="I36" s="90" t="str"/>
      <x:c r="J36" s="22" t="str"/>
      <x:c r="K36" s="22" t="str">
        <x:f>IF(OR(D36="符合",D36="不适用"),"已关闭",IF(D36="待评价","未开始",IF(AND(I36&lt;&gt;"",J36&lt;&gt;""),"已关闭",IF(I36&lt;&gt;"","待验证",IF(AND(H36&lt;&gt;"",H36&lt;TODAY()),"已逾期","整改中")))))</x:f>
        <x:v>未开始</x:v>
      </x:c>
      <x:c r="L36" s="22" t="n">
        <x:f>IF(AND(H36&lt;&gt;"",H36&lt;TODAY(),K36&lt;&gt;"已关闭"),TODAY()-H36,0)</x:f>
        <x:v>0</x:v>
      </x:c>
    </x:row>
    <x:row r="37">
      <x:c r="A37" s="22" t="str">
        <x:v>化工企业设备检修作业安全规范</x:v>
      </x:c>
      <x:c r="B37" s="22" t="str">
        <x:v>需结合企业实际逐条确认</x:v>
      </x:c>
      <x:c r="C37" s="22" t="str"/>
      <x:c r="D37" s="22" t="str">
        <x:v>待评价</x:v>
      </x:c>
      <x:c r="E37" s="22" t="str"/>
      <x:c r="F37" s="22" t="str"/>
      <x:c r="G37" s="22" t="str"/>
      <x:c r="H37" s="90" t="str"/>
      <x:c r="I37" s="90" t="str"/>
      <x:c r="J37" s="22" t="str"/>
      <x:c r="K37" s="22" t="str">
        <x:f>IF(OR(D37="符合",D37="不适用"),"已关闭",IF(D37="待评价","未开始",IF(AND(I37&lt;&gt;"",J37&lt;&gt;""),"已关闭",IF(I37&lt;&gt;"","待验证",IF(AND(H37&lt;&gt;"",H37&lt;TODAY()),"已逾期","整改中")))))</x:f>
        <x:v>未开始</x:v>
      </x:c>
      <x:c r="L37" s="22" t="n">
        <x:f>IF(AND(H37&lt;&gt;"",H37&lt;TODAY(),K37&lt;&gt;"已关闭"),TODAY()-H37,0)</x:f>
        <x:v>0</x:v>
      </x:c>
    </x:row>
    <x:row r="38">
      <x:c r="A38" s="22" t="str">
        <x:v>固定式压力容器安全技术监察规程</x:v>
      </x:c>
      <x:c r="B38" s="22" t="str">
        <x:v>需结合企业实际逐条确认</x:v>
      </x:c>
      <x:c r="C38" s="22" t="str"/>
      <x:c r="D38" s="22" t="str">
        <x:v>待评价</x:v>
      </x:c>
      <x:c r="E38" s="22" t="str"/>
      <x:c r="F38" s="22" t="str"/>
      <x:c r="G38" s="22" t="str"/>
      <x:c r="H38" s="90" t="str"/>
      <x:c r="I38" s="90" t="str"/>
      <x:c r="J38" s="22" t="str"/>
      <x:c r="K38" s="22" t="str">
        <x:f>IF(OR(D38="符合",D38="不适用"),"已关闭",IF(D38="待评价","未开始",IF(AND(I38&lt;&gt;"",J38&lt;&gt;""),"已关闭",IF(I38&lt;&gt;"","待验证",IF(AND(H38&lt;&gt;"",H38&lt;TODAY()),"已逾期","整改中")))))</x:f>
        <x:v>未开始</x:v>
      </x:c>
      <x:c r="L38" s="22" t="n">
        <x:f>IF(AND(H38&lt;&gt;"",H38&lt;TODAY(),K38&lt;&gt;"已关闭"),TODAY()-H38,0)</x:f>
        <x:v>0</x:v>
      </x:c>
    </x:row>
    <x:row r="39">
      <x:c r="A39" s="22" t="str">
        <x:v>化工企业工艺安全管理实施导则</x:v>
      </x:c>
      <x:c r="B39" s="22" t="str">
        <x:v>需结合企业实际逐条确认</x:v>
      </x:c>
      <x:c r="C39" s="22" t="str"/>
      <x:c r="D39" s="22" t="str">
        <x:v>待评价</x:v>
      </x:c>
      <x:c r="E39" s="22" t="str"/>
      <x:c r="F39" s="22" t="str"/>
      <x:c r="G39" s="22" t="str"/>
      <x:c r="H39" s="90" t="str"/>
      <x:c r="I39" s="90" t="str"/>
      <x:c r="J39" s="22" t="str"/>
      <x:c r="K39" s="22" t="str">
        <x:f>IF(OR(D39="符合",D39="不适用"),"已关闭",IF(D39="待评价","未开始",IF(AND(I39&lt;&gt;"",J39&lt;&gt;""),"已关闭",IF(I39&lt;&gt;"","待验证",IF(AND(H39&lt;&gt;"",H39&lt;TODAY()),"已逾期","整改中")))))</x:f>
        <x:v>未开始</x:v>
      </x:c>
      <x:c r="L39" s="22" t="n">
        <x:f>IF(AND(H39&lt;&gt;"",H39&lt;TODAY(),K39&lt;&gt;"已关闭"),TODAY()-H39,0)</x:f>
        <x:v>0</x:v>
      </x:c>
    </x:row>
    <x:row r="40">
      <x:c r="A40" s="23" t="str">
        <x:v>移动式压力容器安全技术监察规程</x:v>
      </x:c>
      <x:c r="B40" s="23" t="str">
        <x:v>需结合企业实际逐条确认</x:v>
      </x:c>
      <x:c r="C40" s="23" t="str"/>
      <x:c r="D40" s="23" t="str">
        <x:v>待评价</x:v>
      </x:c>
      <x:c r="E40" s="23" t="str"/>
      <x:c r="F40" s="23" t="str"/>
      <x:c r="G40" s="23" t="str"/>
      <x:c r="H40" s="25" t="str"/>
      <x:c r="I40" s="25" t="str"/>
      <x:c r="J40" s="23" t="str"/>
      <x:c r="K40" s="23" t="str">
        <x:f>IF(OR(D40="符合",D40="不适用"),"已关闭",IF(D40="待评价","未开始",IF(AND(I40&lt;&gt;"",J40&lt;&gt;""),"已关闭",IF(I40&lt;&gt;"","待验证",IF(AND(H40&lt;&gt;"",H40&lt;TODAY()),"已逾期","整改中")))))</x:f>
        <x:v>未开始</x:v>
      </x:c>
      <x:c r="L40" s="23" t="n">
        <x:f>IF(AND(H40&lt;&gt;"",H40&lt;TODAY(),K40&lt;&gt;"已关闭"),TODAY()-H40,0)</x:f>
        <x:v>0</x:v>
      </x:c>
    </x:row>
  </x:sheetData>
  <x:mergeCells>
    <x:mergeCell ref="A1:L1"/>
    <x:mergeCell ref="A2:L2"/>
  </x:mergeCells>
  <x:conditionalFormatting sqref="D5:D40">
    <x:cfRule type="containsText" dxfId="2" priority="1" operator="containsText" text="不符合"/>
    <x:cfRule type="containsText" dxfId="3" priority="2" operator="containsText" text="基本符合"/>
  </x:conditionalFormatting>
  <x:conditionalFormatting sqref="L5:L40">
    <x:cfRule type="cellIs" dxfId="4" priority="3" operator="greaterThan">
      <x:formula>0</x:formula>
    </x:cfRule>
  </x:conditionalFormatting>
  <x:dataValidations count="1">
    <x:dataValidation type="list" sqref="D5:D40">
      <x:formula1>"待评价,符合,基本符合,不符合,不适用"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381f5e677d4b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32" hidden="0" customWidth="1"/>
    <x:col min="4" max="4" width="14" hidden="0" customWidth="1"/>
    <x:col min="5" max="5" width="22" hidden="0" customWidth="1"/>
    <x:col min="6" max="6" width="20" hidden="0" customWidth="1"/>
    <x:col min="7" max="7" width="15" hidden="0" customWidth="1"/>
    <x:col min="8" max="8" width="15" hidden="0" customWidth="1"/>
    <x:col min="9" max="9" width="14" hidden="0" customWidth="1"/>
    <x:col min="10" max="10" width="18" hidden="0" customWidth="1"/>
    <x:col min="11" max="11" width="14" hidden="0" customWidth="1"/>
    <x:col min="12" max="12" width="36" hidden="0" customWidth="1"/>
    <x:col min="13" max="13" width="34" hidden="0" customWidth="1"/>
    <x:col min="14" max="14" width="18" hidden="0" customWidth="1"/>
    <x:col min="15" max="15" width="16" hidden="0" customWidth="1"/>
    <x:col min="16" max="16" width="45" hidden="0" customWidth="1"/>
  </x:cols>
  <x:sheetData>
    <x:row r="1" ht="30" customHeight="1">
      <x:c r="A1" s="3" t="str">
        <x:v>法规动态跟踪及官方来源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实施进度采用“距实施/已实施 X 天”；来源列保留公开官方URL以便复核。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28" customHeight="1">
      <x:c r="A4" s="13" t="str">
        <x:v>获知日期</x:v>
      </x:c>
      <x:c r="B4" s="88" t="str">
        <x:v>信息来源</x:v>
      </x:c>
      <x:c r="C4" s="88" t="str">
        <x:v>法规或标准名称</x:v>
      </x:c>
      <x:c r="D4" s="88" t="str">
        <x:v>变化类型</x:v>
      </x:c>
      <x:c r="E4" s="88" t="str">
        <x:v>原版本</x:v>
      </x:c>
      <x:c r="F4" s="88" t="str">
        <x:v>新版本</x:v>
      </x:c>
      <x:c r="G4" s="88" t="str">
        <x:v>发布日期</x:v>
      </x:c>
      <x:c r="H4" s="88" t="str">
        <x:v>实施日期</x:v>
      </x:c>
      <x:c r="I4" s="88" t="str">
        <x:v>实施状态</x:v>
      </x:c>
      <x:c r="J4" s="88" t="str">
        <x:v>实施进度</x:v>
      </x:c>
      <x:c r="K4" s="88" t="str">
        <x:v>影响等级</x:v>
      </x:c>
      <x:c r="L4" s="88" t="str">
        <x:v>影响评估</x:v>
      </x:c>
      <x:c r="M4" s="88" t="str">
        <x:v>应对措施</x:v>
      </x:c>
      <x:c r="N4" s="88" t="str">
        <x:v>责任人</x:v>
      </x:c>
      <x:c r="O4" s="88" t="str">
        <x:v>完成状态</x:v>
      </x:c>
      <x:c r="P4" s="14" t="str">
        <x:v>官方来源URL</x:v>
      </x:c>
    </x:row>
    <x:row r="5">
      <x:c r="A5" s="89" t="str">
        <x:v>2026-07-31</x:v>
      </x:c>
      <x:c r="B5" s="21" t="str">
        <x:v>国家法律法规数据库</x:v>
      </x:c>
      <x:c r="C5" s="21" t="str">
        <x:v>中华人民共和国危险化学品安全法</x:v>
      </x:c>
      <x:c r="D5" s="21" t="str">
        <x:v>新增</x:v>
      </x:c>
      <x:c r="E5" s="21" t="str"/>
      <x:c r="F5" s="21" t="str">
        <x:v>主席令第六十四号</x:v>
      </x:c>
      <x:c r="G5" s="89" t="str">
        <x:v>2025-12-27</x:v>
      </x:c>
      <x:c r="H5" s="89" t="str">
        <x:v>2026-05-01</x:v>
      </x:c>
      <x:c r="I5" s="21" t="str">
        <x:v>现行有效</x:v>
      </x:c>
      <x:c r="J5" s="21" t="str">
        <x:v>已实施 92 天</x:v>
      </x:c>
      <x:c r="K5" s="21" t="str">
        <x:v>待评估</x:v>
      </x:c>
      <x:c r="L5" s="21" t="str">
        <x:v>演示：需由EHS人员确认对制度、培训和现场控制的影响</x:v>
      </x:c>
      <x:c r="M5" s="21" t="str">
        <x:v>核对适用条款并更新内部文件</x:v>
      </x:c>
      <x:c r="N5" s="21" t="str">
        <x:v>待指定</x:v>
      </x:c>
      <x:c r="O5" s="21" t="str">
        <x:v>未开始</x:v>
      </x:c>
      <x:c r="P5" s="21" t="str">
        <x:v>https://flk.npc.gov.cn/detail?fileId=&amp;id=2933e1a00644487bbd43d0960cb01931&amp;title=%E4%B8%AD%E5%8D%8E%E4%BA%BA%E6%B0%91%E5%85%B1%E5%92%8C%E5%9B%BD%E5%8D%B1%E9%99%A9%E5%8C%96%E5%AD%A6%E5%93%81%E5%AE%89%E5%85%A8%E6%B3%95&amp;type=</x:v>
      </x:c>
    </x:row>
    <x:row r="6">
      <x:c r="A6" s="90" t="str">
        <x:v>2026-08-01</x:v>
      </x:c>
      <x:c r="B6" s="22" t="str">
        <x:v>国家卫生健康委员会标准详情</x:v>
      </x:c>
      <x:c r="C6" s="22" t="str">
        <x:v>职业健康监护技术规范</x:v>
      </x:c>
      <x:c r="D6" s="22" t="str">
        <x:v>替代</x:v>
      </x:c>
      <x:c r="E6" s="22" t="str">
        <x:v>GBZ 188-2014</x:v>
      </x:c>
      <x:c r="F6" s="22" t="str">
        <x:v>GBZ 188-2025</x:v>
      </x:c>
      <x:c r="G6" s="90" t="str">
        <x:v>2025-08-20</x:v>
      </x:c>
      <x:c r="H6" s="90" t="str">
        <x:v>2026-08-01</x:v>
      </x:c>
      <x:c r="I6" s="22" t="str">
        <x:v>现行有效</x:v>
      </x:c>
      <x:c r="J6" s="22" t="str">
        <x:v>今日实施</x:v>
      </x:c>
      <x:c r="K6" s="22" t="str">
        <x:v>待评估</x:v>
      </x:c>
      <x:c r="L6" s="22" t="str">
        <x:v>演示：需由EHS人员确认对制度、培训和现场控制的影响</x:v>
      </x:c>
      <x:c r="M6" s="22" t="str">
        <x:v>核对适用条款并更新内部文件</x:v>
      </x:c>
      <x:c r="N6" s="22" t="str">
        <x:v>待指定</x:v>
      </x:c>
      <x:c r="O6" s="22" t="str">
        <x:v>未开始</x:v>
      </x:c>
      <x:c r="P6" s="22" t="str">
        <x:v>https://www.nhc.gov.cn/wjw/pyl/202509/1e939d64e61a4ac6b9d31191c5569c34.shtml</x:v>
      </x:c>
    </x:row>
    <x:row r="7">
      <x:c r="A7" s="90" t="str">
        <x:v>2026-07-31</x:v>
      </x:c>
      <x:c r="B7" s="22" t="str">
        <x:v>国家标准全文公开系统</x:v>
      </x:c>
      <x:c r="C7" s="22" t="str">
        <x:v>危险化学品企业安全生产标准化通用规范</x:v>
      </x:c>
      <x:c r="D7" s="22" t="str">
        <x:v>新增</x:v>
      </x:c>
      <x:c r="E7" s="22" t="str"/>
      <x:c r="F7" s="22" t="str">
        <x:v>GB 45673-2025</x:v>
      </x:c>
      <x:c r="G7" s="90" t="str">
        <x:v>2025-04-25</x:v>
      </x:c>
      <x:c r="H7" s="90" t="str">
        <x:v>2025-11-01</x:v>
      </x:c>
      <x:c r="I7" s="22" t="str">
        <x:v>现行有效</x:v>
      </x:c>
      <x:c r="J7" s="22" t="str">
        <x:v>已实施 273 天</x:v>
      </x:c>
      <x:c r="K7" s="22" t="str">
        <x:v>待评估</x:v>
      </x:c>
      <x:c r="L7" s="22" t="str">
        <x:v>演示：需由EHS人员确认对制度、培训和现场控制的影响</x:v>
      </x:c>
      <x:c r="M7" s="22" t="str">
        <x:v>核对适用条款并更新内部文件</x:v>
      </x:c>
      <x:c r="N7" s="22" t="str">
        <x:v>待指定</x:v>
      </x:c>
      <x:c r="O7" s="22" t="str">
        <x:v>未开始</x:v>
      </x:c>
      <x:c r="P7" s="22" t="str">
        <x:v>https://openstd.samr.gov.cn/bzgk/std/newGbInfo?hcno=2B5FB91F00A1C10AE3750A6DEF40C749</x:v>
      </x:c>
    </x:row>
    <x:row r="8">
      <x:c r="A8" s="25" t="str">
        <x:v>2026-07-31</x:v>
      </x:c>
      <x:c r="B8" s="23" t="str">
        <x:v>应急管理部</x:v>
      </x:c>
      <x:c r="C8" s="23" t="str">
        <x:v>化工企业设备检修作业安全规范</x:v>
      </x:c>
      <x:c r="D8" s="23" t="str">
        <x:v>修订</x:v>
      </x:c>
      <x:c r="E8" s="23" t="str">
        <x:v>AQ 3026-2008</x:v>
      </x:c>
      <x:c r="F8" s="23" t="str">
        <x:v>AQ 3026-2026</x:v>
      </x:c>
      <x:c r="G8" s="25" t="str">
        <x:v>2026-03-09</x:v>
      </x:c>
      <x:c r="H8" s="25" t="str">
        <x:v>2026-09-30</x:v>
      </x:c>
      <x:c r="I8" s="23" t="str">
        <x:v>即将实施</x:v>
      </x:c>
      <x:c r="J8" s="23" t="str">
        <x:v>距实施 60 天</x:v>
      </x:c>
      <x:c r="K8" s="23" t="str">
        <x:v>待评估</x:v>
      </x:c>
      <x:c r="L8" s="23" t="str">
        <x:v>演示：需由EHS人员确认对制度、培训和现场控制的影响</x:v>
      </x:c>
      <x:c r="M8" s="23" t="str">
        <x:v>核对适用条款并更新内部文件</x:v>
      </x:c>
      <x:c r="N8" s="23" t="str">
        <x:v>待指定</x:v>
      </x:c>
      <x:c r="O8" s="23" t="str">
        <x:v>未开始</x:v>
      </x:c>
      <x:c r="P8" s="23" t="str">
        <x:v>https://www.mem.gov.cn/fw/flfgbz/bz/bzwb/202603/t20260325_598037.shtml</x:v>
      </x:c>
    </x:row>
  </x:sheetData>
  <x:mergeCells>
    <x:mergeCell ref="A1:P1"/>
    <x:mergeCell ref="A2:P2"/>
  </x:mergeCells>
  <x:conditionalFormatting sqref="J5:J8">
    <x:cfRule type="containsText" dxfId="5" priority="1" operator="containsText" text="距实施"/>
    <x:cfRule type="containsText" dxfId="6" priority="2" operator="containsText" text="已实施"/>
  </x:conditionalFormatting>
  <x:dataValidations count="1">
    <x:dataValidation type="list" sqref="O5:O8">
      <x:formula1>"未开始,制度修订中,已转化,不适用"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672b1c2fa640b0"/>
  </x:tableParts>
</x:worksheet>
</file>